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katak\Downloads\HydroMind-ClaudeCode\devometrics-web\docs\"/>
    </mc:Choice>
  </mc:AlternateContent>
  <xr:revisionPtr revIDLastSave="0" documentId="13_ncr:1_{1A27C003-7B14-410C-A1D2-845AB33D05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Inputs" sheetId="2" r:id="rId2"/>
    <sheet name="AI_Costs" sheetId="3" r:id="rId3"/>
    <sheet name="Usage" sheetId="4" r:id="rId4"/>
    <sheet name="Features" sheetId="5" r:id="rId5"/>
    <sheet name="Pricing" sheetId="6" r:id="rId6"/>
    <sheet name="Guardrail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6" l="1"/>
  <c r="C10" i="6"/>
  <c r="B10" i="6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G13" i="4"/>
  <c r="F13" i="4"/>
  <c r="E13" i="4"/>
  <c r="B13" i="4"/>
  <c r="B12" i="4"/>
  <c r="B11" i="4"/>
  <c r="B10" i="4"/>
  <c r="B9" i="4"/>
  <c r="G8" i="4"/>
  <c r="F8" i="4"/>
  <c r="E8" i="4"/>
  <c r="B8" i="4"/>
  <c r="G7" i="4"/>
  <c r="F7" i="4"/>
  <c r="E7" i="4"/>
  <c r="B7" i="4"/>
  <c r="B6" i="4"/>
  <c r="B5" i="4"/>
  <c r="L33" i="3"/>
  <c r="I33" i="4" s="1"/>
  <c r="J33" i="3"/>
  <c r="I33" i="3"/>
  <c r="K33" i="3" s="1"/>
  <c r="H33" i="4" s="1"/>
  <c r="J32" i="3"/>
  <c r="I32" i="3"/>
  <c r="J31" i="3"/>
  <c r="L31" i="3" s="1"/>
  <c r="I31" i="4" s="1"/>
  <c r="I31" i="3"/>
  <c r="J30" i="3"/>
  <c r="I30" i="3"/>
  <c r="J29" i="3"/>
  <c r="I29" i="3"/>
  <c r="L29" i="3" s="1"/>
  <c r="I29" i="4" s="1"/>
  <c r="J28" i="3"/>
  <c r="I28" i="3"/>
  <c r="J27" i="3"/>
  <c r="I27" i="3"/>
  <c r="J26" i="3"/>
  <c r="I26" i="3"/>
  <c r="J25" i="3"/>
  <c r="I25" i="3"/>
  <c r="K25" i="3" s="1"/>
  <c r="H25" i="4" s="1"/>
  <c r="J24" i="3"/>
  <c r="I24" i="3"/>
  <c r="J23" i="3"/>
  <c r="L23" i="3" s="1"/>
  <c r="I23" i="4" s="1"/>
  <c r="I23" i="3"/>
  <c r="K23" i="3" s="1"/>
  <c r="H23" i="4" s="1"/>
  <c r="L23" i="4" s="1"/>
  <c r="J22" i="3"/>
  <c r="I22" i="3"/>
  <c r="J21" i="3"/>
  <c r="I21" i="3"/>
  <c r="K21" i="3" s="1"/>
  <c r="H21" i="4" s="1"/>
  <c r="J20" i="3"/>
  <c r="I20" i="3"/>
  <c r="J19" i="3"/>
  <c r="I19" i="3"/>
  <c r="J18" i="3"/>
  <c r="I18" i="3"/>
  <c r="J17" i="3"/>
  <c r="I17" i="3"/>
  <c r="L17" i="3" s="1"/>
  <c r="I17" i="4" s="1"/>
  <c r="J16" i="3"/>
  <c r="I16" i="3"/>
  <c r="J15" i="3"/>
  <c r="I15" i="3"/>
  <c r="L15" i="3" s="1"/>
  <c r="I15" i="4" s="1"/>
  <c r="J14" i="3"/>
  <c r="I14" i="3"/>
  <c r="J13" i="3"/>
  <c r="I13" i="3"/>
  <c r="J12" i="3"/>
  <c r="I12" i="3"/>
  <c r="I11" i="3"/>
  <c r="H11" i="3"/>
  <c r="G11" i="3"/>
  <c r="J11" i="3" s="1"/>
  <c r="I10" i="3"/>
  <c r="H10" i="3"/>
  <c r="G10" i="3"/>
  <c r="J10" i="3" s="1"/>
  <c r="J9" i="3"/>
  <c r="I9" i="3"/>
  <c r="J8" i="3"/>
  <c r="I8" i="3"/>
  <c r="K8" i="3" s="1"/>
  <c r="H8" i="4" s="1"/>
  <c r="J7" i="3"/>
  <c r="I7" i="3"/>
  <c r="J6" i="3"/>
  <c r="I6" i="3"/>
  <c r="L6" i="3" s="1"/>
  <c r="I6" i="4" s="1"/>
  <c r="J5" i="3"/>
  <c r="I5" i="3"/>
  <c r="B43" i="2"/>
  <c r="B10" i="1" s="1"/>
  <c r="B29" i="2"/>
  <c r="G12" i="7" s="1"/>
  <c r="B11" i="1"/>
  <c r="M6" i="4" l="1"/>
  <c r="O6" i="4"/>
  <c r="N6" i="4"/>
  <c r="M13" i="4"/>
  <c r="L11" i="3"/>
  <c r="I11" i="4" s="1"/>
  <c r="N13" i="4"/>
  <c r="L8" i="3"/>
  <c r="I8" i="4" s="1"/>
  <c r="M8" i="4" s="1"/>
  <c r="K6" i="3"/>
  <c r="H6" i="4" s="1"/>
  <c r="K6" i="4" s="1"/>
  <c r="K15" i="3"/>
  <c r="H15" i="4" s="1"/>
  <c r="L15" i="4" s="1"/>
  <c r="L19" i="3"/>
  <c r="I19" i="4" s="1"/>
  <c r="L25" i="3"/>
  <c r="I25" i="4" s="1"/>
  <c r="M25" i="4" s="1"/>
  <c r="L8" i="4"/>
  <c r="O13" i="4"/>
  <c r="E6" i="7"/>
  <c r="K31" i="3"/>
  <c r="H31" i="4" s="1"/>
  <c r="L31" i="4" s="1"/>
  <c r="E7" i="7"/>
  <c r="L13" i="3"/>
  <c r="I13" i="4" s="1"/>
  <c r="D10" i="7"/>
  <c r="L27" i="3"/>
  <c r="I27" i="4" s="1"/>
  <c r="N27" i="4" s="1"/>
  <c r="E10" i="7"/>
  <c r="O17" i="4"/>
  <c r="N17" i="4"/>
  <c r="M17" i="4"/>
  <c r="L25" i="4"/>
  <c r="J25" i="4"/>
  <c r="K25" i="4"/>
  <c r="K21" i="4"/>
  <c r="J21" i="4"/>
  <c r="L21" i="4"/>
  <c r="O11" i="4"/>
  <c r="N11" i="4"/>
  <c r="M11" i="4"/>
  <c r="O33" i="4"/>
  <c r="N33" i="4"/>
  <c r="M33" i="4"/>
  <c r="O29" i="4"/>
  <c r="N29" i="4"/>
  <c r="M29" i="4"/>
  <c r="O25" i="4"/>
  <c r="N25" i="4"/>
  <c r="K10" i="3"/>
  <c r="H10" i="4" s="1"/>
  <c r="L10" i="3"/>
  <c r="I10" i="4" s="1"/>
  <c r="M19" i="4"/>
  <c r="O19" i="4"/>
  <c r="N19" i="4"/>
  <c r="M27" i="4"/>
  <c r="O27" i="4"/>
  <c r="L33" i="4"/>
  <c r="J33" i="4"/>
  <c r="K33" i="4"/>
  <c r="L32" i="3"/>
  <c r="I32" i="4" s="1"/>
  <c r="K32" i="3"/>
  <c r="H32" i="4" s="1"/>
  <c r="F7" i="7"/>
  <c r="E11" i="7"/>
  <c r="L18" i="3"/>
  <c r="I18" i="4" s="1"/>
  <c r="K18" i="3"/>
  <c r="L9" i="3"/>
  <c r="I9" i="4" s="1"/>
  <c r="K9" i="3"/>
  <c r="H9" i="4" s="1"/>
  <c r="O31" i="4"/>
  <c r="N31" i="4"/>
  <c r="O8" i="4"/>
  <c r="K13" i="3"/>
  <c r="H13" i="4" s="1"/>
  <c r="L13" i="4" s="1"/>
  <c r="L24" i="3"/>
  <c r="I24" i="4" s="1"/>
  <c r="K24" i="3"/>
  <c r="H24" i="4" s="1"/>
  <c r="K29" i="3"/>
  <c r="H29" i="4" s="1"/>
  <c r="L21" i="3"/>
  <c r="I21" i="4" s="1"/>
  <c r="J8" i="4"/>
  <c r="G7" i="7"/>
  <c r="F11" i="7"/>
  <c r="K19" i="3"/>
  <c r="H19" i="4" s="1"/>
  <c r="K27" i="3"/>
  <c r="H27" i="4" s="1"/>
  <c r="J23" i="4"/>
  <c r="G8" i="7"/>
  <c r="G11" i="7"/>
  <c r="O23" i="4"/>
  <c r="N23" i="4"/>
  <c r="L7" i="3"/>
  <c r="I7" i="4" s="1"/>
  <c r="M7" i="4" s="1"/>
  <c r="K7" i="3"/>
  <c r="K11" i="3"/>
  <c r="H11" i="4" s="1"/>
  <c r="O7" i="4"/>
  <c r="K15" i="4"/>
  <c r="K23" i="4"/>
  <c r="B9" i="7"/>
  <c r="L26" i="3"/>
  <c r="I26" i="4" s="1"/>
  <c r="K26" i="3"/>
  <c r="H26" i="4" s="1"/>
  <c r="O15" i="4"/>
  <c r="N15" i="4"/>
  <c r="L16" i="3"/>
  <c r="I16" i="4" s="1"/>
  <c r="K16" i="3"/>
  <c r="H16" i="4" s="1"/>
  <c r="F12" i="7"/>
  <c r="D11" i="7"/>
  <c r="B10" i="7"/>
  <c r="F8" i="7"/>
  <c r="D7" i="7"/>
  <c r="B6" i="7"/>
  <c r="C12" i="6"/>
  <c r="E12" i="7"/>
  <c r="C11" i="7"/>
  <c r="G9" i="7"/>
  <c r="E8" i="7"/>
  <c r="C7" i="7"/>
  <c r="B12" i="6"/>
  <c r="D12" i="7"/>
  <c r="B11" i="7"/>
  <c r="F9" i="7"/>
  <c r="D8" i="7"/>
  <c r="B7" i="7"/>
  <c r="B19" i="1"/>
  <c r="B18" i="1"/>
  <c r="B12" i="7"/>
  <c r="D9" i="7"/>
  <c r="B8" i="7"/>
  <c r="C12" i="7"/>
  <c r="G10" i="7"/>
  <c r="E9" i="7"/>
  <c r="C8" i="7"/>
  <c r="G6" i="7"/>
  <c r="F10" i="7"/>
  <c r="F6" i="7"/>
  <c r="L14" i="3"/>
  <c r="I14" i="4" s="1"/>
  <c r="K14" i="3"/>
  <c r="H14" i="4" s="1"/>
  <c r="L22" i="3"/>
  <c r="I22" i="4" s="1"/>
  <c r="K22" i="3"/>
  <c r="H22" i="4" s="1"/>
  <c r="L30" i="3"/>
  <c r="I30" i="4" s="1"/>
  <c r="K30" i="3"/>
  <c r="H30" i="4" s="1"/>
  <c r="K8" i="4"/>
  <c r="J15" i="4"/>
  <c r="L5" i="3"/>
  <c r="I5" i="4" s="1"/>
  <c r="K5" i="3"/>
  <c r="L12" i="3"/>
  <c r="I12" i="4" s="1"/>
  <c r="K12" i="3"/>
  <c r="H12" i="4" s="1"/>
  <c r="K17" i="3"/>
  <c r="H17" i="4" s="1"/>
  <c r="L20" i="3"/>
  <c r="I20" i="4" s="1"/>
  <c r="K20" i="3"/>
  <c r="H20" i="4" s="1"/>
  <c r="L28" i="3"/>
  <c r="I28" i="4" s="1"/>
  <c r="K28" i="3"/>
  <c r="H28" i="4" s="1"/>
  <c r="L6" i="4"/>
  <c r="D12" i="6"/>
  <c r="C6" i="7"/>
  <c r="C9" i="7"/>
  <c r="J13" i="4"/>
  <c r="M15" i="4"/>
  <c r="M23" i="4"/>
  <c r="M31" i="4"/>
  <c r="B5" i="6"/>
  <c r="D6" i="7"/>
  <c r="C10" i="7"/>
  <c r="N8" i="4" l="1"/>
  <c r="J31" i="4"/>
  <c r="J6" i="4"/>
  <c r="K31" i="4"/>
  <c r="O22" i="4"/>
  <c r="M22" i="4"/>
  <c r="N22" i="4"/>
  <c r="B19" i="7"/>
  <c r="H18" i="4"/>
  <c r="O14" i="4"/>
  <c r="M14" i="4"/>
  <c r="N14" i="4"/>
  <c r="O16" i="4"/>
  <c r="N16" i="4"/>
  <c r="M16" i="4"/>
  <c r="N18" i="4"/>
  <c r="M18" i="4"/>
  <c r="O18" i="4"/>
  <c r="J10" i="4"/>
  <c r="K10" i="4"/>
  <c r="L10" i="4"/>
  <c r="J14" i="4"/>
  <c r="K14" i="4"/>
  <c r="L14" i="4"/>
  <c r="L16" i="4"/>
  <c r="K16" i="4"/>
  <c r="J16" i="4"/>
  <c r="O24" i="4"/>
  <c r="N24" i="4"/>
  <c r="M24" i="4"/>
  <c r="O5" i="4"/>
  <c r="N5" i="4"/>
  <c r="M5" i="4"/>
  <c r="O12" i="4"/>
  <c r="N12" i="4"/>
  <c r="M12" i="4"/>
  <c r="B17" i="7"/>
  <c r="H5" i="4"/>
  <c r="O10" i="4"/>
  <c r="N10" i="4"/>
  <c r="M10" i="4"/>
  <c r="N28" i="4"/>
  <c r="M28" i="4"/>
  <c r="O28" i="4"/>
  <c r="K11" i="4"/>
  <c r="J11" i="4"/>
  <c r="L11" i="4"/>
  <c r="K13" i="4"/>
  <c r="N20" i="4"/>
  <c r="O20" i="4"/>
  <c r="M20" i="4"/>
  <c r="J30" i="4"/>
  <c r="K30" i="4"/>
  <c r="L30" i="4"/>
  <c r="L26" i="4"/>
  <c r="K26" i="4"/>
  <c r="J26" i="4"/>
  <c r="B18" i="7"/>
  <c r="H7" i="4"/>
  <c r="N7" i="4"/>
  <c r="D8" i="6"/>
  <c r="B8" i="6"/>
  <c r="C8" i="6"/>
  <c r="L24" i="4"/>
  <c r="K24" i="4"/>
  <c r="J24" i="4"/>
  <c r="L28" i="4"/>
  <c r="K28" i="4"/>
  <c r="J28" i="4"/>
  <c r="L20" i="4"/>
  <c r="K20" i="4"/>
  <c r="J20" i="4"/>
  <c r="L17" i="4"/>
  <c r="J17" i="4"/>
  <c r="K17" i="4"/>
  <c r="O30" i="4"/>
  <c r="M30" i="4"/>
  <c r="N30" i="4"/>
  <c r="N26" i="4"/>
  <c r="M26" i="4"/>
  <c r="O26" i="4"/>
  <c r="L27" i="4"/>
  <c r="K27" i="4"/>
  <c r="J27" i="4"/>
  <c r="O21" i="4"/>
  <c r="N21" i="4"/>
  <c r="M21" i="4"/>
  <c r="J9" i="4"/>
  <c r="L9" i="4"/>
  <c r="K9" i="4"/>
  <c r="L32" i="4"/>
  <c r="K32" i="4"/>
  <c r="J32" i="4"/>
  <c r="L12" i="4"/>
  <c r="J12" i="4"/>
  <c r="K12" i="4"/>
  <c r="J22" i="4"/>
  <c r="K22" i="4"/>
  <c r="L22" i="4"/>
  <c r="L19" i="4"/>
  <c r="K19" i="4"/>
  <c r="J19" i="4"/>
  <c r="K29" i="4"/>
  <c r="J29" i="4"/>
  <c r="L29" i="4"/>
  <c r="O9" i="4"/>
  <c r="N9" i="4"/>
  <c r="M9" i="4"/>
  <c r="O32" i="4"/>
  <c r="N32" i="4"/>
  <c r="M32" i="4"/>
  <c r="B20" i="7" l="1"/>
  <c r="B22" i="1" s="1"/>
  <c r="L7" i="4"/>
  <c r="J7" i="4"/>
  <c r="K7" i="4"/>
  <c r="M35" i="4"/>
  <c r="B6" i="1" s="1"/>
  <c r="L18" i="4"/>
  <c r="K18" i="4"/>
  <c r="J18" i="4"/>
  <c r="D11" i="6"/>
  <c r="N35" i="4"/>
  <c r="C6" i="1" s="1"/>
  <c r="C11" i="6"/>
  <c r="O35" i="4"/>
  <c r="D6" i="1" s="1"/>
  <c r="B11" i="6"/>
  <c r="L5" i="4"/>
  <c r="K5" i="4"/>
  <c r="J5" i="4"/>
  <c r="L35" i="4" l="1"/>
  <c r="J35" i="4"/>
  <c r="K35" i="4"/>
  <c r="K36" i="4" l="1"/>
  <c r="B21" i="7"/>
  <c r="C5" i="1"/>
  <c r="J36" i="4"/>
  <c r="B5" i="1"/>
  <c r="L36" i="4"/>
  <c r="D5" i="1"/>
  <c r="D36" i="6" l="1"/>
  <c r="B35" i="6"/>
  <c r="F33" i="6"/>
  <c r="D32" i="6"/>
  <c r="B31" i="6"/>
  <c r="D9" i="6"/>
  <c r="D13" i="6" s="1"/>
  <c r="D14" i="6" s="1"/>
  <c r="D12" i="1" s="1"/>
  <c r="E47" i="6"/>
  <c r="E45" i="6"/>
  <c r="E43" i="6"/>
  <c r="E41" i="6"/>
  <c r="C36" i="6"/>
  <c r="G34" i="6"/>
  <c r="E33" i="6"/>
  <c r="C32" i="6"/>
  <c r="G30" i="6"/>
  <c r="D47" i="6"/>
  <c r="D45" i="6"/>
  <c r="D43" i="6"/>
  <c r="D41" i="6"/>
  <c r="B36" i="6"/>
  <c r="F34" i="6"/>
  <c r="D33" i="6"/>
  <c r="B32" i="6"/>
  <c r="F30" i="6"/>
  <c r="G35" i="6"/>
  <c r="E34" i="6"/>
  <c r="C33" i="6"/>
  <c r="G31" i="6"/>
  <c r="E30" i="6"/>
  <c r="D7" i="1"/>
  <c r="F35" i="6"/>
  <c r="D35" i="6"/>
  <c r="F32" i="6"/>
  <c r="B30" i="6"/>
  <c r="C30" i="6"/>
  <c r="E42" i="6"/>
  <c r="C35" i="6"/>
  <c r="E32" i="6"/>
  <c r="E35" i="6"/>
  <c r="G32" i="6"/>
  <c r="E46" i="6"/>
  <c r="D42" i="6"/>
  <c r="D34" i="6"/>
  <c r="F31" i="6"/>
  <c r="B33" i="6"/>
  <c r="D46" i="6"/>
  <c r="C34" i="6"/>
  <c r="E31" i="6"/>
  <c r="D44" i="6"/>
  <c r="G36" i="6"/>
  <c r="B34" i="6"/>
  <c r="D31" i="6"/>
  <c r="E36" i="6"/>
  <c r="D30" i="6"/>
  <c r="E44" i="6"/>
  <c r="F36" i="6"/>
  <c r="G33" i="6"/>
  <c r="C31" i="6"/>
  <c r="B9" i="6"/>
  <c r="B13" i="6" s="1"/>
  <c r="B14" i="6" s="1"/>
  <c r="B12" i="1" s="1"/>
  <c r="B7" i="1"/>
  <c r="B46" i="6"/>
  <c r="B44" i="6"/>
  <c r="B42" i="6"/>
  <c r="F25" i="6"/>
  <c r="D24" i="6"/>
  <c r="B23" i="6"/>
  <c r="F21" i="6"/>
  <c r="D20" i="6"/>
  <c r="B19" i="6"/>
  <c r="B22" i="7"/>
  <c r="B23" i="7" s="1"/>
  <c r="B23" i="1" s="1"/>
  <c r="E25" i="6"/>
  <c r="C24" i="6"/>
  <c r="G22" i="6"/>
  <c r="E21" i="6"/>
  <c r="C20" i="6"/>
  <c r="C9" i="6"/>
  <c r="C13" i="6" s="1"/>
  <c r="C14" i="6" s="1"/>
  <c r="C12" i="1" s="1"/>
  <c r="D25" i="6"/>
  <c r="B24" i="6"/>
  <c r="F22" i="6"/>
  <c r="D21" i="6"/>
  <c r="B20" i="6"/>
  <c r="B47" i="6"/>
  <c r="C47" i="6"/>
  <c r="C45" i="6"/>
  <c r="C43" i="6"/>
  <c r="C41" i="6"/>
  <c r="C25" i="6"/>
  <c r="G23" i="6"/>
  <c r="E22" i="6"/>
  <c r="C21" i="6"/>
  <c r="G19" i="6"/>
  <c r="B45" i="6"/>
  <c r="B41" i="6"/>
  <c r="B43" i="6"/>
  <c r="D23" i="6"/>
  <c r="F20" i="6"/>
  <c r="G25" i="6"/>
  <c r="C23" i="6"/>
  <c r="E20" i="6"/>
  <c r="C44" i="6"/>
  <c r="E23" i="6"/>
  <c r="B15" i="1"/>
  <c r="B25" i="6"/>
  <c r="D22" i="6"/>
  <c r="F19" i="6"/>
  <c r="C7" i="1"/>
  <c r="C42" i="6"/>
  <c r="G24" i="6"/>
  <c r="C22" i="6"/>
  <c r="E19" i="6"/>
  <c r="C46" i="6"/>
  <c r="F24" i="6"/>
  <c r="B22" i="6"/>
  <c r="D19" i="6"/>
  <c r="B21" i="6"/>
  <c r="G20" i="6"/>
  <c r="E24" i="6"/>
  <c r="G21" i="6"/>
  <c r="C19" i="6"/>
  <c r="F23" i="6"/>
  <c r="C15" i="1"/>
</calcChain>
</file>

<file path=xl/sharedStrings.xml><?xml version="1.0" encoding="utf-8"?>
<sst xmlns="http://schemas.openxmlformats.org/spreadsheetml/2006/main" count="586" uniqueCount="394">
  <si>
    <t>Devometrics pricing model</t>
  </si>
  <si>
    <t>Feature-based pricing built bottom-up from measured AI cost, to land a 75-80% gross margin. Every number below is a formula; change Inputs and it recalculates.</t>
  </si>
  <si>
    <t>AI cost per seat per month</t>
  </si>
  <si>
    <t>Light</t>
  </si>
  <si>
    <t>Typical</t>
  </si>
  <si>
    <t>Heavy</t>
  </si>
  <si>
    <t>Reading</t>
  </si>
  <si>
    <t>English</t>
  </si>
  <si>
    <t>Even heavy English use costs about a dollar per seat.</t>
  </si>
  <si>
    <t>Arabic</t>
  </si>
  <si>
    <t>Arabic roughly doubles token costs (measured 2.08x).</t>
  </si>
  <si>
    <t>Blended (Arabic share on Inputs)</t>
  </si>
  <si>
    <t>Gross margin at the Complete price</t>
  </si>
  <si>
    <t>Complete price per seat per month</t>
  </si>
  <si>
    <t>Platform size used (paying seats)</t>
  </si>
  <si>
    <t>Gross margin</t>
  </si>
  <si>
    <t>Compare with the 75-80% target on Inputs.</t>
  </si>
  <si>
    <t>Platform size needed to reach the target (Typical usage)</t>
  </si>
  <si>
    <t>Low target</t>
  </si>
  <si>
    <t>High target</t>
  </si>
  <si>
    <t>Paying seats on the platform</t>
  </si>
  <si>
    <t>Below this size the fixed platform cost drags margin under target; use a minimum monthly fee per client until you pass it.</t>
  </si>
  <si>
    <t>Fixed platform cost</t>
  </si>
  <si>
    <t>Value</t>
  </si>
  <si>
    <t>Total fixed per month</t>
  </si>
  <si>
    <t>Minimum monthly fee per client to cover its share at 5 clients</t>
  </si>
  <si>
    <t>Rough guide for a per-client minimum, e.g. a 10-seat floor.</t>
  </si>
  <si>
    <t>Saving from three small product changes (Typical, English)</t>
  </si>
  <si>
    <t>Per seat/mo</t>
  </si>
  <si>
    <t>Daily insight on Haiku, Coach memory every 5th message, cache course recommendations</t>
  </si>
  <si>
    <t>Typical gross margin after those changes (same price and size)</t>
  </si>
  <si>
    <t>Legend</t>
  </si>
  <si>
    <t>Blue text = input you can change. Yellow fill = key assumption to confirm. Green text = pulled from another sheet. Black = formula.</t>
  </si>
  <si>
    <t>Sheets: Inputs (all assumptions) &gt; AI_Costs (cost per use) &gt; Usage (cost per seat) &gt; Pricing (margins) &gt; Guardrails (caps and savings) &gt; Features (what is free).</t>
  </si>
  <si>
    <t>Prices on Inputs are a starting recommendation. There is no market-rate benchmarking in this model; compare to your existing $9 / $7.50 / $6 grid.</t>
  </si>
  <si>
    <t>Inputs and assumptions</t>
  </si>
  <si>
    <t>Blue = an input you can change. Yellow = a key assumption to confirm. Every other sheet is formulas off this one.</t>
  </si>
  <si>
    <t>Model rates ($ per 1M tokens)</t>
  </si>
  <si>
    <t>Input</t>
  </si>
  <si>
    <t>Output</t>
  </si>
  <si>
    <t>Source / note</t>
  </si>
  <si>
    <t>sonnet</t>
  </si>
  <si>
    <t>claude-sonnet-5 list rate (lib/aiUsage/track.ts). The introductory $2/$10 ended 31 Aug 2026.</t>
  </si>
  <si>
    <t>haiku</t>
  </si>
  <si>
    <t>claude-haiku-4-5 list rate (Coach, Roleplay, Coach memory).</t>
  </si>
  <si>
    <t>mini</t>
  </si>
  <si>
    <t>openai/gpt-5.4-mini via OpenRouter (drafting features).</t>
  </si>
  <si>
    <t>Speech (Microsoft Azure)</t>
  </si>
  <si>
    <t>Speech-to-text, $ per audio hour</t>
  </si>
  <si>
    <t>Azure Speech standard real-time rate. VERIFY against your Azure bill.</t>
  </si>
  <si>
    <t>Text-to-speech (neural), $ per 1M characters</t>
  </si>
  <si>
    <t>Azure neural TTS list rate. VERIFY against your Azure bill.</t>
  </si>
  <si>
    <t>Voice role-play session: minutes of speech</t>
  </si>
  <si>
    <t>Assumption: a typical spoken practice session.</t>
  </si>
  <si>
    <t>Voice role-play session: characters spoken back</t>
  </si>
  <si>
    <t>Assumption: ~10 replies of ~600 characters.</t>
  </si>
  <si>
    <t>Coach voice exchange: minutes of speech</t>
  </si>
  <si>
    <t>Assumption.</t>
  </si>
  <si>
    <t>Coach voice exchange: characters spoken back</t>
  </si>
  <si>
    <t>Language</t>
  </si>
  <si>
    <t>Arabic token multiplier (token cost only)</t>
  </si>
  <si>
    <t>Measured 2.08x on the same Coach exchange in Arabic vs English (your 30 Jul routing analysis).</t>
  </si>
  <si>
    <t>Share of usage that is in Arabic</t>
  </si>
  <si>
    <t>ASSUMPTION for a MENA-focused client base. Set to your real mix once Sentry/usage data exists.</t>
  </si>
  <si>
    <t>Fixed platform costs ($ per month)</t>
  </si>
  <si>
    <t>Supabase Pro</t>
  </si>
  <si>
    <t>Database, auth, storage. Includes daily backups (7 days).</t>
  </si>
  <si>
    <t>Supabase compute upgrade (Small)</t>
  </si>
  <si>
    <t>Headroom for a few hundred active users. VERIFY current price.</t>
  </si>
  <si>
    <t>Vercel Pro (1 seat)</t>
  </si>
  <si>
    <t>Hosting.</t>
  </si>
  <si>
    <t>Sentry Team</t>
  </si>
  <si>
    <t>Error monitoring. VERIFY current price.</t>
  </si>
  <si>
    <t>Resend Pro</t>
  </si>
  <si>
    <t>Transactional email (50k/month).</t>
  </si>
  <si>
    <t>Domain, DNS, misc.</t>
  </si>
  <si>
    <t>Point-in-time recovery add-on</t>
  </si>
  <si>
    <t>Optional Supabase add-on. Set the switch below to 1 to include.</t>
  </si>
  <si>
    <t>Include point-in-time recovery? (1 = yes, 0 = no)</t>
  </si>
  <si>
    <t>Total fixed platform cost ($/month)</t>
  </si>
  <si>
    <t>Variable costs and revenue-linked costs</t>
  </si>
  <si>
    <t>Storage, bandwidth and email per seat ($/month)</t>
  </si>
  <si>
    <t>Assumption: documents, SCORM, CVs, reminders. Re-measure after the pilot.</t>
  </si>
  <si>
    <t>Support and customer success (% of revenue)</t>
  </si>
  <si>
    <t>ASSUMPTION. Counted as cost of revenue so the margin is conservative.</t>
  </si>
  <si>
    <t>Payment processing (% of revenue)</t>
  </si>
  <si>
    <t>Blended bank transfer / card fees. Lemon Squeezy card payments are higher (5% + $0.50).</t>
  </si>
  <si>
    <t>Margin target</t>
  </si>
  <si>
    <t>Note</t>
  </si>
  <si>
    <t>Target gross margin: low end</t>
  </si>
  <si>
    <t>Gross margin here = revenue minus AI, hosting, storage, support and payment costs.</t>
  </si>
  <si>
    <t>Target gross margin: high end</t>
  </si>
  <si>
    <t>Feature-based prices ($ per employee per month)</t>
  </si>
  <si>
    <t>Core HR (all free-to-run modules)</t>
  </si>
  <si>
    <t>Starting recommendation. Compare to your existing grid ($9 / $7.50 / $6). Change freely.</t>
  </si>
  <si>
    <t>Talent Intelligence (AI modules)</t>
  </si>
  <si>
    <t>Complete (Core HR + Talent Intelligence)</t>
  </si>
  <si>
    <t>AI cost per use, by feature</t>
  </si>
  <si>
    <t>Models and token caps come from the real call sites. Token counts are estimates sized to each feature's content and cross-checked against recorded events (Coach $0.0027, succession ranking $0.0166, web-search course recommendations $0.089).</t>
  </si>
  <si>
    <t>ID</t>
  </si>
  <si>
    <t>Feature</t>
  </si>
  <si>
    <t>Triggered by</t>
  </si>
  <si>
    <t>Model</t>
  </si>
  <si>
    <t>Input tokens</t>
  </si>
  <si>
    <t>Output tokens</t>
  </si>
  <si>
    <t>Voice minutes</t>
  </si>
  <si>
    <t>TTS characters</t>
  </si>
  <si>
    <t>Token cost (EN)</t>
  </si>
  <si>
    <t>Voice cost</t>
  </si>
  <si>
    <t>Total per use (EN)</t>
  </si>
  <si>
    <t>Total per use (AR)</t>
  </si>
  <si>
    <t>Cost class</t>
  </si>
  <si>
    <t>A1</t>
  </si>
  <si>
    <t>Daily insight</t>
  </si>
  <si>
    <t>Dashboard load, once per user per day</t>
  </si>
  <si>
    <t>D</t>
  </si>
  <si>
    <t>Runs for EVERY active user whether or not they use AI. Biggest baseline cost; a Haiku call would be ~3x cheaper.</t>
  </si>
  <si>
    <t>A2</t>
  </si>
  <si>
    <t>Coach reply</t>
  </si>
  <si>
    <t>Each Coach message</t>
  </si>
  <si>
    <t>C</t>
  </si>
  <si>
    <t>Measured: ~1,288 in / 281 out.</t>
  </si>
  <si>
    <t>A3</t>
  </si>
  <si>
    <t>Coach memory update</t>
  </si>
  <si>
    <t>After every Coach message</t>
  </si>
  <si>
    <t>Measured. Doubles the cost of each Coach exchange.</t>
  </si>
  <si>
    <t>A4</t>
  </si>
  <si>
    <t>Coach session summary</t>
  </si>
  <si>
    <t>Per Coach session (~8 messages)</t>
  </si>
  <si>
    <t>Estimate.</t>
  </si>
  <si>
    <t>A5</t>
  </si>
  <si>
    <t>Role-play turn (text)</t>
  </si>
  <si>
    <t>Each role-play turn</t>
  </si>
  <si>
    <t>A session is ~10 turns.</t>
  </si>
  <si>
    <t>A6</t>
  </si>
  <si>
    <t>Voice role-play session (speech only)</t>
  </si>
  <si>
    <t>Per voice session</t>
  </si>
  <si>
    <t>voice</t>
  </si>
  <si>
    <t>E</t>
  </si>
  <si>
    <t>Azure speech-to-text + text-to-speech for one session. Add the text turns separately.</t>
  </si>
  <si>
    <t>A7</t>
  </si>
  <si>
    <t>Coach voice exchange (speech only)</t>
  </si>
  <si>
    <t>Per spoken Coach exchange</t>
  </si>
  <si>
    <t>Azure speech only.</t>
  </si>
  <si>
    <t>A8</t>
  </si>
  <si>
    <t>Gap analysis: competency extraction</t>
  </si>
  <si>
    <t>Each gap analysis</t>
  </si>
  <si>
    <t>CV + job description + prompt. Largest single employee-run call.</t>
  </si>
  <si>
    <t>A9</t>
  </si>
  <si>
    <t>Gap analysis: role-context inference</t>
  </si>
  <si>
    <t>Runs with each analysis.</t>
  </si>
  <si>
    <t>A10</t>
  </si>
  <si>
    <t>Resume Intelligence</t>
  </si>
  <si>
    <t>Each CV audit</t>
  </si>
  <si>
    <t>A11</t>
  </si>
  <si>
    <t>Career GPS what-if</t>
  </si>
  <si>
    <t>Each what-if</t>
  </si>
  <si>
    <t>A12</t>
  </si>
  <si>
    <t>Notes analysis</t>
  </si>
  <si>
    <t>Each analysed note</t>
  </si>
  <si>
    <t>A13</t>
  </si>
  <si>
    <t>Case-study scoring</t>
  </si>
  <si>
    <t>Each scored exercise</t>
  </si>
  <si>
    <t>A14</t>
  </si>
  <si>
    <t>Course recommendations (web search)</t>
  </si>
  <si>
    <t>Each recommendation request</t>
  </si>
  <si>
    <t>Measured $0.089: the most expensive single call. Cache it per skill.</t>
  </si>
  <si>
    <t>A15</t>
  </si>
  <si>
    <t>Career paths</t>
  </si>
  <si>
    <t>Each generation</t>
  </si>
  <si>
    <t>A16</t>
  </si>
  <si>
    <t>Performance review AI assist</t>
  </si>
  <si>
    <t>Per employee per review cycle (3 calls)</t>
  </si>
  <si>
    <t>Five call sites; ~3 per employee per cycle.</t>
  </si>
  <si>
    <t>A17</t>
  </si>
  <si>
    <t>Career profile extraction</t>
  </si>
  <si>
    <t>Once per user (CV upload)</t>
  </si>
  <si>
    <t>One-time.</t>
  </si>
  <si>
    <t>A18</t>
  </si>
  <si>
    <t>Discovery interview synthesis</t>
  </si>
  <si>
    <t>Once per user</t>
  </si>
  <si>
    <t>A19</t>
  </si>
  <si>
    <t>Task breakdown</t>
  </si>
  <si>
    <t>Each breakdown</t>
  </si>
  <si>
    <t>H1</t>
  </si>
  <si>
    <t>Candidate CV scoring</t>
  </si>
  <si>
    <t>Each CV scored (HR)</t>
  </si>
  <si>
    <t>HR-initiated.</t>
  </si>
  <si>
    <t>H2</t>
  </si>
  <si>
    <t>Candidate interview assessment</t>
  </si>
  <si>
    <t>Each assessment (HR)</t>
  </si>
  <si>
    <t>H3</t>
  </si>
  <si>
    <t>Candidate ranking</t>
  </si>
  <si>
    <t>Each ranking run (HR)</t>
  </si>
  <si>
    <t>H4</t>
  </si>
  <si>
    <t>Exit-interview analysis</t>
  </si>
  <si>
    <t>Each exit interview (HR)</t>
  </si>
  <si>
    <t>H5</t>
  </si>
  <si>
    <t>Flight-risk score</t>
  </si>
  <si>
    <t>Each employee run (HR)</t>
  </si>
  <si>
    <t>H6</t>
  </si>
  <si>
    <t>Succession ranking</t>
  </si>
  <si>
    <t>Each role run (HR)</t>
  </si>
  <si>
    <t>Measured.</t>
  </si>
  <si>
    <t>H7</t>
  </si>
  <si>
    <t>Job description generation</t>
  </si>
  <si>
    <t>Each JD (HR)</t>
  </si>
  <si>
    <t>H8</t>
  </si>
  <si>
    <t>Interview question set</t>
  </si>
  <si>
    <t>Each set (HR)</t>
  </si>
  <si>
    <t>H9</t>
  </si>
  <si>
    <t>Survey question drafting</t>
  </si>
  <si>
    <t>Each draft (HR)</t>
  </si>
  <si>
    <t>H10</t>
  </si>
  <si>
    <t>Role grading suggestion</t>
  </si>
  <si>
    <t>Each suggestion (HR)</t>
  </si>
  <si>
    <t>Cost class: C = AI-light (Haiku / GPT-5.4 Mini); D = AI-standard (Sonnet); E = heavy (voice or web search). Class A and B features have no per-use AI cost; see the Features sheet.</t>
  </si>
  <si>
    <t>AI cost per seat per month, by usage profile</t>
  </si>
  <si>
    <t>Units are what one employee does in a month (HR-initiated rows are per 100 seats). Edit the blue cells to match what you expect clients to do.</t>
  </si>
  <si>
    <t>Unit</t>
  </si>
  <si>
    <t>Per</t>
  </si>
  <si>
    <t>Cost/use EN</t>
  </si>
  <si>
    <t>Cost/use AR</t>
  </si>
  <si>
    <t>Light EN</t>
  </si>
  <si>
    <t>Typical EN</t>
  </si>
  <si>
    <t>Heavy EN</t>
  </si>
  <si>
    <t>Light AR</t>
  </si>
  <si>
    <t>Typical AR</t>
  </si>
  <si>
    <t>Heavy AR</t>
  </si>
  <si>
    <t>days opened per month</t>
  </si>
  <si>
    <t>Coach messages</t>
  </si>
  <si>
    <t>Coach messages (memory update)</t>
  </si>
  <si>
    <t>Coach sessions</t>
  </si>
  <si>
    <t>role-play turns (text)</t>
  </si>
  <si>
    <t>voice role-play sessions</t>
  </si>
  <si>
    <t>spoken Coach exchanges</t>
  </si>
  <si>
    <t>gap analyses</t>
  </si>
  <si>
    <t>gap analyses (role context)</t>
  </si>
  <si>
    <t>CV audits</t>
  </si>
  <si>
    <t>what-if runs</t>
  </si>
  <si>
    <t>notes analysed</t>
  </si>
  <si>
    <t>case studies scored</t>
  </si>
  <si>
    <t>course recommendation requests</t>
  </si>
  <si>
    <t>career path generations</t>
  </si>
  <si>
    <t>review cycles per month</t>
  </si>
  <si>
    <t>profile extractions (amortised)</t>
  </si>
  <si>
    <t>discovery syntheses (amortised)</t>
  </si>
  <si>
    <t>task breakdowns</t>
  </si>
  <si>
    <t>CVs scored per 100 seats</t>
  </si>
  <si>
    <t>assessments per 100 seats</t>
  </si>
  <si>
    <t>ranking runs per 100 seats</t>
  </si>
  <si>
    <t>exit analyses per 100 seats</t>
  </si>
  <si>
    <t>flight-risk runs per 100 seats</t>
  </si>
  <si>
    <t>succession runs per 100 seats</t>
  </si>
  <si>
    <t>JDs per 100 seats</t>
  </si>
  <si>
    <t>question sets per 100 seats</t>
  </si>
  <si>
    <t>survey drafts per 100 seats</t>
  </si>
  <si>
    <t>role gradings per 100 seats</t>
  </si>
  <si>
    <t>Blended with the Arabic share set on Inputs</t>
  </si>
  <si>
    <t>How to read: columns J-L are English, M-O are Arabic. The blended row (J-L) is what the Pricing sheet uses.</t>
  </si>
  <si>
    <t>Every platform feature, by what it costs to run</t>
  </si>
  <si>
    <t>Class A = free to run (database only). B = storage / bandwidth. C = AI-light. D = AI-standard (Sonnet). E = heavy (voice / web search). The bundle column is the proposed feature-based packaging.</t>
  </si>
  <si>
    <t>Module</t>
  </si>
  <si>
    <t>What it does</t>
  </si>
  <si>
    <t>Cost driver</t>
  </si>
  <si>
    <t>Proposed bundle</t>
  </si>
  <si>
    <t>Approx. cost per seat per month</t>
  </si>
  <si>
    <t>Employee directory and records</t>
  </si>
  <si>
    <t>People, titles, departments, managers, status, seat management</t>
  </si>
  <si>
    <t>A</t>
  </si>
  <si>
    <t>Database rows</t>
  </si>
  <si>
    <t>Core HR</t>
  </si>
  <si>
    <t>~$0</t>
  </si>
  <si>
    <t>Employee file and documents</t>
  </si>
  <si>
    <t>Required and custom document types, custom fields, status/manager/department history, insurance</t>
  </si>
  <si>
    <t>A+B</t>
  </si>
  <si>
    <t>Rows + file storage</t>
  </si>
  <si>
    <t>~$0.01</t>
  </si>
  <si>
    <t>Org chart and planning</t>
  </si>
  <si>
    <t>Reporting lines, vacant/future positions, snapshots, saved views</t>
  </si>
  <si>
    <t>Job architecture</t>
  </si>
  <si>
    <t>Families, roles, grades, competency requirements (manual)</t>
  </si>
  <si>
    <t>Competency framework</t>
  </si>
  <si>
    <t>Company's own competencies mapped to 8 dimensions (manual)</t>
  </si>
  <si>
    <t>Leave management</t>
  </si>
  <si>
    <t>Types, balances, requests, approvals, working-day calendars and holidays</t>
  </si>
  <si>
    <t>Attendance</t>
  </si>
  <si>
    <t>Check-in/out in the company's timezone, import, reports</t>
  </si>
  <si>
    <t>HR letters and requests</t>
  </si>
  <si>
    <t>Employee requests and HR-issued letters</t>
  </si>
  <si>
    <t>Compensation</t>
  </si>
  <si>
    <t>Salary records, bands, proposals, approvals, full audit log</t>
  </si>
  <si>
    <t>Hiring pipeline (manual)</t>
  </si>
  <si>
    <t>Postings, candidates, stages, notes, history, invite-to-join</t>
  </si>
  <si>
    <t>Rows + CV storage</t>
  </si>
  <si>
    <t>Performance reviews and impact cycles</t>
  </si>
  <si>
    <t>Cycles, steps, escalations, reminders (workflow, no AI)</t>
  </si>
  <si>
    <t>Database rows + email</t>
  </si>
  <si>
    <t>Surveys and exit interviews (capture)</t>
  </si>
  <si>
    <t>Anonymous pulse surveys, exit interview capture and results</t>
  </si>
  <si>
    <t>Analytics, scorecard, high-potential</t>
  </si>
  <si>
    <t>Computed from stored data</t>
  </si>
  <si>
    <t>Database queries</t>
  </si>
  <si>
    <t>Assessment centre (26 assessments)</t>
  </si>
  <si>
    <t>Deterministic scoring, bands, development actions</t>
  </si>
  <si>
    <t>None (no AI)</t>
  </si>
  <si>
    <t>Knowledge Hub and SCORM</t>
  </si>
  <si>
    <t>Documents, courses, exams, attestations, SCORM packages, tracking</t>
  </si>
  <si>
    <t>Storage + bandwidth</t>
  </si>
  <si>
    <t>~$0.02 (varies with video)</t>
  </si>
  <si>
    <t>Tasks, calendar, private notes</t>
  </si>
  <si>
    <t>Private workspace</t>
  </si>
  <si>
    <t>Permissions, feature switches, import/export, bilingual UI</t>
  </si>
  <si>
    <t>Access control, per-company switches, Excel import/export, English/Arabic</t>
  </si>
  <si>
    <t>None</t>
  </si>
  <si>
    <t>AI Coach (text)</t>
  </si>
  <si>
    <t>Conversational coaching with memory</t>
  </si>
  <si>
    <t>Haiku: reply + memory + summary</t>
  </si>
  <si>
    <t>Talent Intelligence</t>
  </si>
  <si>
    <t>$0.00-$0.50 by usage</t>
  </si>
  <si>
    <t>Interview / scenario simulator (text)</t>
  </si>
  <si>
    <t>Live role-play with feedback</t>
  </si>
  <si>
    <t>Haiku per turn</t>
  </si>
  <si>
    <t>$0.00-$0.10</t>
  </si>
  <si>
    <t>Drafting assistants</t>
  </si>
  <si>
    <t>JD, interview questions, survey drafts, role grading, career paths, task breakdown</t>
  </si>
  <si>
    <t>GPT-5.4 Mini per use</t>
  </si>
  <si>
    <t>&lt; $0.05</t>
  </si>
  <si>
    <t>One AI insight per user per active day</t>
  </si>
  <si>
    <t>Sonnet once per day</t>
  </si>
  <si>
    <t>$0.04-$0.16 (see Guardrails)</t>
  </si>
  <si>
    <t>Gap analysis, CV and resume intelligence</t>
  </si>
  <si>
    <t>Competency extraction and scoring from a CV</t>
  </si>
  <si>
    <t>Sonnet per run</t>
  </si>
  <si>
    <t>$0.00-$0.20</t>
  </si>
  <si>
    <t>Hiring AI</t>
  </si>
  <si>
    <t>CV scoring, interview assessment, candidate ranking</t>
  </si>
  <si>
    <t>Sonnet per candidate (HR-initiated)</t>
  </si>
  <si>
    <t>~$0.03</t>
  </si>
  <si>
    <t>Performance, succession, flight-risk, exit-interview AI</t>
  </si>
  <si>
    <t>AI assist on reviews, succession ranking, retention risk, exit analysis</t>
  </si>
  <si>
    <t>Sonnet per run (HR-initiated)</t>
  </si>
  <si>
    <t>~$0.05</t>
  </si>
  <si>
    <t>Career GPS, notes analysis, case studies</t>
  </si>
  <si>
    <t>What-if paths, analysed notes, scored exercises</t>
  </si>
  <si>
    <t>Sonnet per use</t>
  </si>
  <si>
    <t>$0.01-$0.10</t>
  </si>
  <si>
    <t>Voice (coach and role-play)</t>
  </si>
  <si>
    <t>Speech-to-text and text-to-speech</t>
  </si>
  <si>
    <t>Azure speech per minute / character</t>
  </si>
  <si>
    <t>Metered pack</t>
  </si>
  <si>
    <t>$0.26 per 10-minute session</t>
  </si>
  <si>
    <t>Web-search course recommendations</t>
  </si>
  <si>
    <t>Live search for real courses</t>
  </si>
  <si>
    <t>Sonnet with ~21k input tokens</t>
  </si>
  <si>
    <t>$0.09 per request</t>
  </si>
  <si>
    <t>Prices and margins</t>
  </si>
  <si>
    <t>Gross margin = revenue minus AI, hosting, storage, support and payment costs. Fixed platform cost is shared across ALL paying seats on the platform, so margin rises with scale.</t>
  </si>
  <si>
    <t>Total paying seats on the platform (all clients)</t>
  </si>
  <si>
    <t>Complete price ($ per employee per month)</t>
  </si>
  <si>
    <t>Unit economics per seat per month</t>
  </si>
  <si>
    <t>Revenue</t>
  </si>
  <si>
    <t>AI cost (blended English/Arabic)</t>
  </si>
  <si>
    <t>Storage, bandwidth, email</t>
  </si>
  <si>
    <t>Support and payment costs</t>
  </si>
  <si>
    <t>Fixed platform cost per seat</t>
  </si>
  <si>
    <t>Gross profit</t>
  </si>
  <si>
    <t>Gross margin: TYPICAL usage (blended language) by platform size and price</t>
  </si>
  <si>
    <t>Total seats \ price per seat</t>
  </si>
  <si>
    <t>Gross margin: HEAVY usage (blended language) by platform size and price</t>
  </si>
  <si>
    <t>Lowest price that still hits the margin target (per seat per month)</t>
  </si>
  <si>
    <t>Total seats</t>
  </si>
  <si>
    <t>Typical @ low target</t>
  </si>
  <si>
    <t>Typical @ high target</t>
  </si>
  <si>
    <t>Heavy @ low target</t>
  </si>
  <si>
    <t>Heavy @ high target</t>
  </si>
  <si>
    <t>Guardrails that protect the margin</t>
  </si>
  <si>
    <t>The AI credit cap (organizations.monthly_ai_budget_usd) is the enforcement mechanism that already exists. These are the per-seat caps that keep each price at or above the margin target.</t>
  </si>
  <si>
    <t>AI credit cap per seat per month that still hits the LOW target</t>
  </si>
  <si>
    <t>Read: at 250 platform seats and a $7 price, AI spend per seat must stay under the figure shown or margin falls below the low target. Set the org's budget to seats x this number.</t>
  </si>
  <si>
    <t>Product changes that cut AI cost (TYPICAL usage, English)</t>
  </si>
  <si>
    <t>Change</t>
  </si>
  <si>
    <t>Saving per seat per month</t>
  </si>
  <si>
    <t>How</t>
  </si>
  <si>
    <t>Daily insight on Haiku instead of Sonnet</t>
  </si>
  <si>
    <t>One-line change in lib/careerGps/dailyInsight.ts. The output is ~120 tokens of friendly text.</t>
  </si>
  <si>
    <t>Coach memory updated every 5th message, not every message</t>
  </si>
  <si>
    <t>Update the running summary at session end or every 5 exchanges. Removes about a third of Coach cost.</t>
  </si>
  <si>
    <t>Cache course recommendations per skill (shared)</t>
  </si>
  <si>
    <t>Same skill + level gives the same answer; cache for 30 days across the company, assume an 80% hit rate.</t>
  </si>
  <si>
    <t>Total saving per seat per month</t>
  </si>
  <si>
    <t>...as a share of typical AI cost (English)</t>
  </si>
  <si>
    <t>Typical blended AI cost per seat after the changes</t>
  </si>
  <si>
    <t>Typical gross margin at the Pricing sheet's price and size, after the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</si>
</sst>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\(\$#,##0.00\);\-"/>
    <numFmt numFmtId="165" formatCode="#,##0.00;\(#,##0.00\);\-"/>
    <numFmt numFmtId="166" formatCode="0.0%;\(0.0%\);\-"/>
    <numFmt numFmtId="167" formatCode="\$#,##0.0000;\(\$#,##0.0000\);\-"/>
  </numFmts>
  <fonts count="8" x14ac:knownFonts="1">
    <font>
      <sz val="11"/>
      <color theme="1"/>
      <name val="Calibri"/>
      <family val="2"/>
      <scheme val="minor"/>
    </font>
    <font>
      <b/>
      <sz val="16"/>
      <color rgb="FF16161A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5C4E"/>
      </patternFill>
    </fill>
    <fill>
      <patternFill patternType="solid">
        <fgColor rgb="FFFFFF00"/>
      </patternFill>
    </fill>
    <fill>
      <patternFill patternType="solid">
        <fgColor rgb="FFD9EAD3"/>
      </patternFill>
    </fill>
    <fill>
      <patternFill patternType="solid">
        <fgColor rgb="FFE3EE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164" fontId="7" fillId="0" borderId="0" xfId="0" applyNumberFormat="1" applyFont="1"/>
    <xf numFmtId="0" fontId="2" fillId="0" borderId="0" xfId="0" applyFont="1" applyAlignment="1">
      <alignment vertical="top" wrapText="1"/>
    </xf>
    <xf numFmtId="0" fontId="6" fillId="0" borderId="0" xfId="0" applyFont="1"/>
    <xf numFmtId="164" fontId="7" fillId="4" borderId="0" xfId="0" applyNumberFormat="1" applyFont="1" applyFill="1"/>
    <xf numFmtId="3" fontId="7" fillId="0" borderId="0" xfId="0" applyNumberFormat="1" applyFont="1"/>
    <xf numFmtId="166" fontId="7" fillId="4" borderId="0" xfId="0" applyNumberFormat="1" applyFont="1" applyFill="1"/>
    <xf numFmtId="3" fontId="6" fillId="4" borderId="0" xfId="0" applyNumberFormat="1" applyFont="1" applyFill="1"/>
    <xf numFmtId="164" fontId="4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3" fontId="5" fillId="0" borderId="0" xfId="0" applyNumberFormat="1" applyFont="1"/>
    <xf numFmtId="166" fontId="5" fillId="3" borderId="0" xfId="0" applyNumberFormat="1" applyFont="1" applyFill="1"/>
    <xf numFmtId="3" fontId="5" fillId="3" borderId="0" xfId="0" applyNumberFormat="1" applyFont="1" applyFill="1"/>
    <xf numFmtId="164" fontId="6" fillId="0" borderId="0" xfId="0" applyNumberFormat="1" applyFont="1"/>
    <xf numFmtId="166" fontId="5" fillId="0" borderId="0" xfId="0" applyNumberFormat="1" applyFont="1"/>
    <xf numFmtId="164" fontId="5" fillId="3" borderId="0" xfId="0" applyNumberFormat="1" applyFont="1" applyFill="1"/>
    <xf numFmtId="165" fontId="4" fillId="0" borderId="0" xfId="0" applyNumberFormat="1" applyFont="1"/>
    <xf numFmtId="3" fontId="4" fillId="0" borderId="0" xfId="0" applyNumberFormat="1" applyFont="1"/>
    <xf numFmtId="167" fontId="4" fillId="0" borderId="0" xfId="0" applyNumberFormat="1" applyFont="1"/>
    <xf numFmtId="167" fontId="6" fillId="0" borderId="0" xfId="0" applyNumberFormat="1" applyFont="1"/>
    <xf numFmtId="165" fontId="7" fillId="0" borderId="0" xfId="0" applyNumberFormat="1" applyFont="1"/>
    <xf numFmtId="0" fontId="7" fillId="0" borderId="0" xfId="0" applyFont="1"/>
    <xf numFmtId="167" fontId="7" fillId="0" borderId="0" xfId="0" applyNumberFormat="1" applyFont="1"/>
    <xf numFmtId="164" fontId="6" fillId="4" borderId="0" xfId="0" applyNumberFormat="1" applyFont="1" applyFill="1"/>
    <xf numFmtId="164" fontId="6" fillId="3" borderId="0" xfId="0" applyNumberFormat="1" applyFont="1" applyFill="1"/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66" fontId="6" fillId="4" borderId="0" xfId="0" applyNumberFormat="1" applyFont="1" applyFill="1"/>
    <xf numFmtId="0" fontId="6" fillId="5" borderId="0" xfId="0" applyFont="1" applyFill="1"/>
    <xf numFmtId="166" fontId="4" fillId="0" borderId="0" xfId="0" applyNumberFormat="1" applyFont="1"/>
    <xf numFmtId="0" fontId="3" fillId="2" borderId="0" xfId="0" applyFont="1" applyFill="1" applyAlignment="1">
      <alignment wrapText="1"/>
    </xf>
    <xf numFmtId="0" fontId="3" fillId="2" borderId="0" xfId="0" applyFont="1" applyFill="1"/>
    <xf numFmtId="164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showGridLines="0" tabSelected="1" workbookViewId="0"/>
  </sheetViews>
  <sheetFormatPr defaultRowHeight="14.5" x14ac:dyDescent="0.35"/>
  <cols>
    <col min="1" max="1" width="58" customWidth="1"/>
    <col min="2" max="4" width="16" customWidth="1"/>
    <col min="5" max="5" width="60" customWidth="1"/>
  </cols>
  <sheetData>
    <row r="1" spans="1:5" ht="20" x14ac:dyDescent="0.4">
      <c r="A1" s="1" t="s">
        <v>0</v>
      </c>
    </row>
    <row r="2" spans="1:5" x14ac:dyDescent="0.35">
      <c r="A2" s="2" t="s">
        <v>1</v>
      </c>
    </row>
    <row r="4" spans="1: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5">
      <c r="A5" s="4" t="s">
        <v>7</v>
      </c>
      <c r="B5" s="5">
        <f>Usage!J35</f>
        <v>0.11813492999999999</v>
      </c>
      <c r="C5" s="5">
        <f>Usage!K35</f>
        <v>0.41509579666666663</v>
      </c>
      <c r="D5" s="5">
        <f>Usage!L35</f>
        <v>1.3018475300000003</v>
      </c>
      <c r="E5" s="6" t="s">
        <v>8</v>
      </c>
    </row>
    <row r="6" spans="1:5" x14ac:dyDescent="0.35">
      <c r="A6" s="4" t="s">
        <v>9</v>
      </c>
      <c r="B6" s="5">
        <f>Usage!M35</f>
        <v>0.24572065439999999</v>
      </c>
      <c r="C6" s="5">
        <f>Usage!N35</f>
        <v>0.8350312570666667</v>
      </c>
      <c r="D6" s="5">
        <f>Usage!O35</f>
        <v>2.4691628624000002</v>
      </c>
      <c r="E6" s="6" t="s">
        <v>10</v>
      </c>
    </row>
    <row r="7" spans="1:5" x14ac:dyDescent="0.35">
      <c r="A7" s="7" t="s">
        <v>11</v>
      </c>
      <c r="B7" s="8">
        <f>Usage!J36</f>
        <v>0.18192779219999999</v>
      </c>
      <c r="C7" s="8">
        <f>Usage!K36</f>
        <v>0.62506352686666666</v>
      </c>
      <c r="D7" s="8">
        <f>Usage!L36</f>
        <v>1.8855051962000002</v>
      </c>
    </row>
    <row r="9" spans="1:5" x14ac:dyDescent="0.35">
      <c r="A9" s="3" t="s">
        <v>12</v>
      </c>
      <c r="B9" s="3" t="s">
        <v>3</v>
      </c>
      <c r="C9" s="3" t="s">
        <v>4</v>
      </c>
      <c r="D9" s="3" t="s">
        <v>5</v>
      </c>
      <c r="E9" s="3" t="s">
        <v>6</v>
      </c>
    </row>
    <row r="10" spans="1:5" x14ac:dyDescent="0.35">
      <c r="A10" s="4" t="s">
        <v>13</v>
      </c>
      <c r="B10" s="5">
        <f>Inputs!B43</f>
        <v>8</v>
      </c>
    </row>
    <row r="11" spans="1:5" x14ac:dyDescent="0.35">
      <c r="A11" s="4" t="s">
        <v>14</v>
      </c>
      <c r="B11" s="9">
        <f>Pricing!B4</f>
        <v>250</v>
      </c>
    </row>
    <row r="12" spans="1:5" x14ac:dyDescent="0.35">
      <c r="A12" s="7" t="s">
        <v>15</v>
      </c>
      <c r="B12" s="10">
        <f>Pricing!B14</f>
        <v>0.81700902597500002</v>
      </c>
      <c r="C12" s="10">
        <f>Pricing!C14</f>
        <v>0.76161705914166666</v>
      </c>
      <c r="D12" s="10">
        <f>Pricing!D14</f>
        <v>0.60406185047499994</v>
      </c>
      <c r="E12" s="6" t="s">
        <v>16</v>
      </c>
    </row>
    <row r="14" spans="1:5" x14ac:dyDescent="0.35">
      <c r="A14" s="3" t="s">
        <v>17</v>
      </c>
      <c r="B14" s="3" t="s">
        <v>18</v>
      </c>
      <c r="C14" s="3" t="s">
        <v>19</v>
      </c>
      <c r="D14" s="3"/>
      <c r="E14" s="3" t="s">
        <v>6</v>
      </c>
    </row>
    <row r="15" spans="1:5" ht="26" x14ac:dyDescent="0.35">
      <c r="A15" s="4" t="s">
        <v>20</v>
      </c>
      <c r="B15" s="11">
        <f>IF(Inputs!$B$43*(1-Inputs!$B$33-Inputs!$B$34-Inputs!$B$37)-Usage!$K$36-Inputs!$B$32&lt;=0,"not reachable",ROUNDUP(Inputs!$B$29/(Inputs!$B$43*(1-Inputs!$B$33-Inputs!$B$34-Inputs!$B$37)-Usage!$K$36-Inputs!$B$32),0))</f>
        <v>206</v>
      </c>
      <c r="C15" s="11">
        <f>IF(Inputs!$B$43*(1-Inputs!$B$33-Inputs!$B$34-Inputs!$B$38)-Usage!$K$36-Inputs!$B$32&lt;=0,"not reachable",ROUNDUP(Inputs!$B$29/(Inputs!$B$43*(1-Inputs!$B$33-Inputs!$B$34-Inputs!$B$38)-Usage!$K$36-Inputs!$B$32),0))</f>
        <v>865</v>
      </c>
      <c r="E15" s="6" t="s">
        <v>21</v>
      </c>
    </row>
    <row r="17" spans="1:5" x14ac:dyDescent="0.35">
      <c r="A17" s="3" t="s">
        <v>22</v>
      </c>
      <c r="B17" s="3" t="s">
        <v>23</v>
      </c>
      <c r="C17" s="3"/>
      <c r="D17" s="3"/>
      <c r="E17" s="3" t="s">
        <v>6</v>
      </c>
    </row>
    <row r="18" spans="1:5" x14ac:dyDescent="0.35">
      <c r="A18" s="4" t="s">
        <v>24</v>
      </c>
      <c r="B18" s="5">
        <f>Inputs!B29</f>
        <v>108</v>
      </c>
    </row>
    <row r="19" spans="1:5" x14ac:dyDescent="0.35">
      <c r="A19" s="4" t="s">
        <v>25</v>
      </c>
      <c r="B19" s="12">
        <f>Inputs!B29/5/(1-Inputs!B33-Inputs!B34)</f>
        <v>24</v>
      </c>
      <c r="E19" s="6" t="s">
        <v>26</v>
      </c>
    </row>
    <row r="21" spans="1:5" x14ac:dyDescent="0.35">
      <c r="A21" s="3" t="s">
        <v>27</v>
      </c>
      <c r="B21" s="3" t="s">
        <v>28</v>
      </c>
      <c r="C21" s="3"/>
      <c r="D21" s="3"/>
      <c r="E21" s="3" t="s">
        <v>6</v>
      </c>
    </row>
    <row r="22" spans="1:5" x14ac:dyDescent="0.35">
      <c r="A22" s="4" t="s">
        <v>29</v>
      </c>
      <c r="B22" s="8">
        <f>Guardrails!B20</f>
        <v>0.12384736</v>
      </c>
    </row>
    <row r="23" spans="1:5" x14ac:dyDescent="0.35">
      <c r="A23" s="7" t="s">
        <v>30</v>
      </c>
      <c r="B23" s="10">
        <f>Guardrails!B23</f>
        <v>0.78545767594166671</v>
      </c>
    </row>
    <row r="26" spans="1:5" x14ac:dyDescent="0.35">
      <c r="A26" s="7" t="s">
        <v>31</v>
      </c>
    </row>
    <row r="27" spans="1:5" x14ac:dyDescent="0.35">
      <c r="A27" s="2" t="s">
        <v>32</v>
      </c>
    </row>
    <row r="28" spans="1:5" x14ac:dyDescent="0.35">
      <c r="A28" s="2" t="s">
        <v>33</v>
      </c>
    </row>
    <row r="29" spans="1:5" x14ac:dyDescent="0.35">
      <c r="A29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showGridLines="0" workbookViewId="0"/>
  </sheetViews>
  <sheetFormatPr defaultRowHeight="14.5" x14ac:dyDescent="0.35"/>
  <cols>
    <col min="1" max="1" width="46" customWidth="1"/>
    <col min="2" max="3" width="14" customWidth="1"/>
    <col min="4" max="4" width="70" customWidth="1"/>
  </cols>
  <sheetData>
    <row r="1" spans="1:4" ht="20" x14ac:dyDescent="0.4">
      <c r="A1" s="1" t="s">
        <v>35</v>
      </c>
    </row>
    <row r="2" spans="1:4" x14ac:dyDescent="0.35">
      <c r="A2" s="2" t="s">
        <v>36</v>
      </c>
    </row>
    <row r="3" spans="1:4" x14ac:dyDescent="0.35">
      <c r="A3" s="3" t="s">
        <v>37</v>
      </c>
      <c r="B3" s="3" t="s">
        <v>38</v>
      </c>
      <c r="C3" s="3" t="s">
        <v>39</v>
      </c>
      <c r="D3" s="3" t="s">
        <v>40</v>
      </c>
    </row>
    <row r="4" spans="1:4" ht="26" x14ac:dyDescent="0.35">
      <c r="A4" s="4" t="s">
        <v>41</v>
      </c>
      <c r="B4" s="13">
        <v>3</v>
      </c>
      <c r="C4" s="13">
        <v>15</v>
      </c>
      <c r="D4" s="6" t="s">
        <v>42</v>
      </c>
    </row>
    <row r="5" spans="1:4" x14ac:dyDescent="0.35">
      <c r="A5" s="4" t="s">
        <v>43</v>
      </c>
      <c r="B5" s="13">
        <v>1</v>
      </c>
      <c r="C5" s="13">
        <v>5</v>
      </c>
      <c r="D5" s="6" t="s">
        <v>44</v>
      </c>
    </row>
    <row r="6" spans="1:4" x14ac:dyDescent="0.35">
      <c r="A6" s="4" t="s">
        <v>45</v>
      </c>
      <c r="B6" s="13">
        <v>0.75</v>
      </c>
      <c r="C6" s="13">
        <v>4.5</v>
      </c>
      <c r="D6" s="6" t="s">
        <v>46</v>
      </c>
    </row>
    <row r="8" spans="1:4" x14ac:dyDescent="0.35">
      <c r="A8" s="3" t="s">
        <v>47</v>
      </c>
      <c r="B8" s="3" t="s">
        <v>23</v>
      </c>
      <c r="C8" s="3"/>
      <c r="D8" s="3" t="s">
        <v>40</v>
      </c>
    </row>
    <row r="9" spans="1:4" x14ac:dyDescent="0.35">
      <c r="A9" s="4" t="s">
        <v>48</v>
      </c>
      <c r="B9" s="13">
        <v>1</v>
      </c>
      <c r="D9" s="6" t="s">
        <v>49</v>
      </c>
    </row>
    <row r="10" spans="1:4" x14ac:dyDescent="0.35">
      <c r="A10" s="4" t="s">
        <v>50</v>
      </c>
      <c r="B10" s="13">
        <v>16</v>
      </c>
      <c r="D10" s="6" t="s">
        <v>51</v>
      </c>
    </row>
    <row r="11" spans="1:4" x14ac:dyDescent="0.35">
      <c r="A11" s="4" t="s">
        <v>52</v>
      </c>
      <c r="B11" s="14">
        <v>10</v>
      </c>
      <c r="D11" s="6" t="s">
        <v>53</v>
      </c>
    </row>
    <row r="12" spans="1:4" x14ac:dyDescent="0.35">
      <c r="A12" s="4" t="s">
        <v>54</v>
      </c>
      <c r="B12" s="15">
        <v>6000</v>
      </c>
      <c r="D12" s="6" t="s">
        <v>55</v>
      </c>
    </row>
    <row r="13" spans="1:4" x14ac:dyDescent="0.35">
      <c r="A13" s="4" t="s">
        <v>56</v>
      </c>
      <c r="B13" s="14">
        <v>0.5</v>
      </c>
      <c r="D13" s="6" t="s">
        <v>57</v>
      </c>
    </row>
    <row r="14" spans="1:4" x14ac:dyDescent="0.35">
      <c r="A14" s="4" t="s">
        <v>58</v>
      </c>
      <c r="B14" s="15">
        <v>600</v>
      </c>
      <c r="D14" s="6" t="s">
        <v>57</v>
      </c>
    </row>
    <row r="16" spans="1:4" x14ac:dyDescent="0.35">
      <c r="A16" s="3" t="s">
        <v>59</v>
      </c>
      <c r="B16" s="3" t="s">
        <v>23</v>
      </c>
      <c r="C16" s="3"/>
      <c r="D16" s="3" t="s">
        <v>40</v>
      </c>
    </row>
    <row r="17" spans="1:4" ht="26" x14ac:dyDescent="0.35">
      <c r="A17" s="4" t="s">
        <v>60</v>
      </c>
      <c r="B17" s="14">
        <v>2.08</v>
      </c>
      <c r="D17" s="6" t="s">
        <v>61</v>
      </c>
    </row>
    <row r="18" spans="1:4" ht="26" x14ac:dyDescent="0.35">
      <c r="A18" s="4" t="s">
        <v>62</v>
      </c>
      <c r="B18" s="16">
        <v>0.5</v>
      </c>
      <c r="D18" s="6" t="s">
        <v>63</v>
      </c>
    </row>
    <row r="20" spans="1:4" x14ac:dyDescent="0.35">
      <c r="A20" s="3" t="s">
        <v>64</v>
      </c>
      <c r="B20" s="3" t="s">
        <v>23</v>
      </c>
      <c r="C20" s="3"/>
      <c r="D20" s="3" t="s">
        <v>40</v>
      </c>
    </row>
    <row r="21" spans="1:4" x14ac:dyDescent="0.35">
      <c r="A21" s="4" t="s">
        <v>65</v>
      </c>
      <c r="B21" s="13">
        <v>25</v>
      </c>
      <c r="D21" s="6" t="s">
        <v>66</v>
      </c>
    </row>
    <row r="22" spans="1:4" x14ac:dyDescent="0.35">
      <c r="A22" s="4" t="s">
        <v>67</v>
      </c>
      <c r="B22" s="13">
        <v>15</v>
      </c>
      <c r="D22" s="6" t="s">
        <v>68</v>
      </c>
    </row>
    <row r="23" spans="1:4" x14ac:dyDescent="0.35">
      <c r="A23" s="4" t="s">
        <v>69</v>
      </c>
      <c r="B23" s="13">
        <v>20</v>
      </c>
      <c r="D23" s="6" t="s">
        <v>70</v>
      </c>
    </row>
    <row r="24" spans="1:4" x14ac:dyDescent="0.35">
      <c r="A24" s="4" t="s">
        <v>71</v>
      </c>
      <c r="B24" s="13">
        <v>26</v>
      </c>
      <c r="D24" s="6" t="s">
        <v>72</v>
      </c>
    </row>
    <row r="25" spans="1:4" x14ac:dyDescent="0.35">
      <c r="A25" s="4" t="s">
        <v>73</v>
      </c>
      <c r="B25" s="13">
        <v>20</v>
      </c>
      <c r="D25" s="6" t="s">
        <v>74</v>
      </c>
    </row>
    <row r="26" spans="1:4" x14ac:dyDescent="0.35">
      <c r="A26" s="4" t="s">
        <v>75</v>
      </c>
      <c r="B26" s="13">
        <v>2</v>
      </c>
      <c r="D26" s="6" t="s">
        <v>57</v>
      </c>
    </row>
    <row r="27" spans="1:4" x14ac:dyDescent="0.35">
      <c r="A27" s="4" t="s">
        <v>76</v>
      </c>
      <c r="B27" s="13">
        <v>100</v>
      </c>
      <c r="D27" s="6" t="s">
        <v>77</v>
      </c>
    </row>
    <row r="28" spans="1:4" x14ac:dyDescent="0.35">
      <c r="A28" s="4" t="s">
        <v>78</v>
      </c>
      <c r="B28" s="17">
        <v>0</v>
      </c>
    </row>
    <row r="29" spans="1:4" x14ac:dyDescent="0.35">
      <c r="A29" s="7" t="s">
        <v>79</v>
      </c>
      <c r="B29" s="18">
        <f>SUM(B21:B26)+B27*B28</f>
        <v>108</v>
      </c>
    </row>
    <row r="31" spans="1:4" x14ac:dyDescent="0.35">
      <c r="A31" s="3" t="s">
        <v>80</v>
      </c>
      <c r="B31" s="3" t="s">
        <v>23</v>
      </c>
      <c r="C31" s="3"/>
      <c r="D31" s="3" t="s">
        <v>40</v>
      </c>
    </row>
    <row r="32" spans="1:4" x14ac:dyDescent="0.35">
      <c r="A32" s="4" t="s">
        <v>81</v>
      </c>
      <c r="B32" s="13">
        <v>0.05</v>
      </c>
      <c r="D32" s="6" t="s">
        <v>82</v>
      </c>
    </row>
    <row r="33" spans="1:4" x14ac:dyDescent="0.35">
      <c r="A33" s="4" t="s">
        <v>83</v>
      </c>
      <c r="B33" s="16">
        <v>0.08</v>
      </c>
      <c r="D33" s="6" t="s">
        <v>84</v>
      </c>
    </row>
    <row r="34" spans="1:4" ht="26" x14ac:dyDescent="0.35">
      <c r="A34" s="4" t="s">
        <v>85</v>
      </c>
      <c r="B34" s="19">
        <v>0.02</v>
      </c>
      <c r="D34" s="6" t="s">
        <v>86</v>
      </c>
    </row>
    <row r="36" spans="1:4" x14ac:dyDescent="0.35">
      <c r="A36" s="3" t="s">
        <v>87</v>
      </c>
      <c r="B36" s="3" t="s">
        <v>23</v>
      </c>
      <c r="C36" s="3"/>
      <c r="D36" s="3" t="s">
        <v>88</v>
      </c>
    </row>
    <row r="37" spans="1:4" ht="26" x14ac:dyDescent="0.35">
      <c r="A37" s="4" t="s">
        <v>89</v>
      </c>
      <c r="B37" s="19">
        <v>0.75</v>
      </c>
      <c r="D37" s="6" t="s">
        <v>90</v>
      </c>
    </row>
    <row r="38" spans="1:4" x14ac:dyDescent="0.35">
      <c r="A38" s="4" t="s">
        <v>91</v>
      </c>
      <c r="B38" s="19">
        <v>0.8</v>
      </c>
    </row>
    <row r="40" spans="1:4" x14ac:dyDescent="0.35">
      <c r="A40" s="3" t="s">
        <v>92</v>
      </c>
      <c r="B40" s="3" t="s">
        <v>23</v>
      </c>
      <c r="C40" s="3"/>
      <c r="D40" s="3" t="s">
        <v>88</v>
      </c>
    </row>
    <row r="41" spans="1:4" ht="26" x14ac:dyDescent="0.35">
      <c r="A41" s="4" t="s">
        <v>93</v>
      </c>
      <c r="B41" s="20">
        <v>3.5</v>
      </c>
      <c r="D41" s="6" t="s">
        <v>94</v>
      </c>
    </row>
    <row r="42" spans="1:4" x14ac:dyDescent="0.35">
      <c r="A42" s="4" t="s">
        <v>95</v>
      </c>
      <c r="B42" s="20">
        <v>4.5</v>
      </c>
    </row>
    <row r="43" spans="1:4" x14ac:dyDescent="0.35">
      <c r="A43" s="7" t="s">
        <v>96</v>
      </c>
      <c r="B43" s="18">
        <f>B41+B42</f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showGridLines="0" workbookViewId="0"/>
  </sheetViews>
  <sheetFormatPr defaultRowHeight="14.5" x14ac:dyDescent="0.35"/>
  <cols>
    <col min="1" max="1" width="6" customWidth="1"/>
    <col min="2" max="2" width="38" customWidth="1"/>
    <col min="3" max="3" width="30" customWidth="1"/>
    <col min="4" max="4" width="9" customWidth="1"/>
    <col min="5" max="6" width="11" customWidth="1"/>
    <col min="7" max="7" width="10" customWidth="1"/>
    <col min="8" max="8" width="11" customWidth="1"/>
    <col min="9" max="9" width="12" customWidth="1"/>
    <col min="10" max="10" width="11" customWidth="1"/>
    <col min="11" max="12" width="13" customWidth="1"/>
    <col min="13" max="13" width="11" customWidth="1"/>
    <col min="14" max="14" width="50" customWidth="1"/>
  </cols>
  <sheetData>
    <row r="1" spans="1:14" ht="20" x14ac:dyDescent="0.4">
      <c r="A1" s="1" t="s">
        <v>97</v>
      </c>
    </row>
    <row r="2" spans="1:14" x14ac:dyDescent="0.35">
      <c r="A2" s="2" t="s">
        <v>98</v>
      </c>
    </row>
    <row r="4" spans="1:14" ht="26" x14ac:dyDescent="0.35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  <c r="I4" s="3" t="s">
        <v>107</v>
      </c>
      <c r="J4" s="3" t="s">
        <v>108</v>
      </c>
      <c r="K4" s="3" t="s">
        <v>109</v>
      </c>
      <c r="L4" s="3" t="s">
        <v>110</v>
      </c>
      <c r="M4" s="3" t="s">
        <v>111</v>
      </c>
      <c r="N4" s="3" t="s">
        <v>88</v>
      </c>
    </row>
    <row r="5" spans="1:14" ht="26" x14ac:dyDescent="0.35">
      <c r="A5" s="4" t="s">
        <v>112</v>
      </c>
      <c r="B5" s="4" t="s">
        <v>113</v>
      </c>
      <c r="C5" s="2" t="s">
        <v>114</v>
      </c>
      <c r="D5" s="4" t="s">
        <v>41</v>
      </c>
      <c r="E5" s="15">
        <v>1800</v>
      </c>
      <c r="F5" s="15">
        <v>120</v>
      </c>
      <c r="G5" s="21">
        <v>0</v>
      </c>
      <c r="H5" s="22">
        <v>0</v>
      </c>
      <c r="I5" s="23">
        <f>IFERROR((E5*INDEX(Inputs!$B$4:$B$6,MATCH(D5,Inputs!$A$4:$A$6,0))+F5*INDEX(Inputs!$C$4:$C$6,MATCH(D5,Inputs!$A$4:$A$6,0)))/1000000,0)</f>
        <v>7.1999999999999998E-3</v>
      </c>
      <c r="J5" s="23">
        <f>G5/60*Inputs!$B$9+H5/1000000*Inputs!$B$10</f>
        <v>0</v>
      </c>
      <c r="K5" s="24">
        <f t="shared" ref="K5:K33" si="0">I5+J5</f>
        <v>7.1999999999999998E-3</v>
      </c>
      <c r="L5" s="23">
        <f>I5*Inputs!$B$17+J5</f>
        <v>1.4976E-2</v>
      </c>
      <c r="M5" s="4" t="s">
        <v>115</v>
      </c>
      <c r="N5" s="6" t="s">
        <v>116</v>
      </c>
    </row>
    <row r="6" spans="1:14" x14ac:dyDescent="0.35">
      <c r="A6" s="4" t="s">
        <v>117</v>
      </c>
      <c r="B6" s="4" t="s">
        <v>118</v>
      </c>
      <c r="C6" s="2" t="s">
        <v>119</v>
      </c>
      <c r="D6" s="4" t="s">
        <v>43</v>
      </c>
      <c r="E6" s="15">
        <v>1300</v>
      </c>
      <c r="F6" s="15">
        <v>280</v>
      </c>
      <c r="G6" s="21">
        <v>0</v>
      </c>
      <c r="H6" s="22">
        <v>0</v>
      </c>
      <c r="I6" s="23">
        <f>IFERROR((E6*INDEX(Inputs!$B$4:$B$6,MATCH(D6,Inputs!$A$4:$A$6,0))+F6*INDEX(Inputs!$C$4:$C$6,MATCH(D6,Inputs!$A$4:$A$6,0)))/1000000,0)</f>
        <v>2.7000000000000001E-3</v>
      </c>
      <c r="J6" s="23">
        <f>G6/60*Inputs!$B$9+H6/1000000*Inputs!$B$10</f>
        <v>0</v>
      </c>
      <c r="K6" s="24">
        <f t="shared" si="0"/>
        <v>2.7000000000000001E-3</v>
      </c>
      <c r="L6" s="23">
        <f>I6*Inputs!$B$17+J6</f>
        <v>5.6160000000000003E-3</v>
      </c>
      <c r="M6" s="4" t="s">
        <v>120</v>
      </c>
      <c r="N6" s="6" t="s">
        <v>121</v>
      </c>
    </row>
    <row r="7" spans="1:14" x14ac:dyDescent="0.35">
      <c r="A7" s="4" t="s">
        <v>122</v>
      </c>
      <c r="B7" s="4" t="s">
        <v>123</v>
      </c>
      <c r="C7" s="2" t="s">
        <v>124</v>
      </c>
      <c r="D7" s="4" t="s">
        <v>43</v>
      </c>
      <c r="E7" s="15">
        <v>1400</v>
      </c>
      <c r="F7" s="15">
        <v>250</v>
      </c>
      <c r="G7" s="21">
        <v>0</v>
      </c>
      <c r="H7" s="22">
        <v>0</v>
      </c>
      <c r="I7" s="23">
        <f>IFERROR((E7*INDEX(Inputs!$B$4:$B$6,MATCH(D7,Inputs!$A$4:$A$6,0))+F7*INDEX(Inputs!$C$4:$C$6,MATCH(D7,Inputs!$A$4:$A$6,0)))/1000000,0)</f>
        <v>2.65E-3</v>
      </c>
      <c r="J7" s="23">
        <f>G7/60*Inputs!$B$9+H7/1000000*Inputs!$B$10</f>
        <v>0</v>
      </c>
      <c r="K7" s="24">
        <f t="shared" si="0"/>
        <v>2.65E-3</v>
      </c>
      <c r="L7" s="23">
        <f>I7*Inputs!$B$17+J7</f>
        <v>5.5120000000000004E-3</v>
      </c>
      <c r="M7" s="4" t="s">
        <v>120</v>
      </c>
      <c r="N7" s="6" t="s">
        <v>125</v>
      </c>
    </row>
    <row r="8" spans="1:14" x14ac:dyDescent="0.35">
      <c r="A8" s="4" t="s">
        <v>126</v>
      </c>
      <c r="B8" s="4" t="s">
        <v>127</v>
      </c>
      <c r="C8" s="2" t="s">
        <v>128</v>
      </c>
      <c r="D8" s="4" t="s">
        <v>43</v>
      </c>
      <c r="E8" s="15">
        <v>3500</v>
      </c>
      <c r="F8" s="15">
        <v>700</v>
      </c>
      <c r="G8" s="21">
        <v>0</v>
      </c>
      <c r="H8" s="22">
        <v>0</v>
      </c>
      <c r="I8" s="23">
        <f>IFERROR((E8*INDEX(Inputs!$B$4:$B$6,MATCH(D8,Inputs!$A$4:$A$6,0))+F8*INDEX(Inputs!$C$4:$C$6,MATCH(D8,Inputs!$A$4:$A$6,0)))/1000000,0)</f>
        <v>7.0000000000000001E-3</v>
      </c>
      <c r="J8" s="23">
        <f>G8/60*Inputs!$B$9+H8/1000000*Inputs!$B$10</f>
        <v>0</v>
      </c>
      <c r="K8" s="24">
        <f t="shared" si="0"/>
        <v>7.0000000000000001E-3</v>
      </c>
      <c r="L8" s="23">
        <f>I8*Inputs!$B$17+J8</f>
        <v>1.456E-2</v>
      </c>
      <c r="M8" s="4" t="s">
        <v>120</v>
      </c>
      <c r="N8" s="6" t="s">
        <v>129</v>
      </c>
    </row>
    <row r="9" spans="1:14" x14ac:dyDescent="0.35">
      <c r="A9" s="4" t="s">
        <v>130</v>
      </c>
      <c r="B9" s="4" t="s">
        <v>131</v>
      </c>
      <c r="C9" s="2" t="s">
        <v>132</v>
      </c>
      <c r="D9" s="4" t="s">
        <v>43</v>
      </c>
      <c r="E9" s="15">
        <v>1800</v>
      </c>
      <c r="F9" s="15">
        <v>300</v>
      </c>
      <c r="G9" s="21">
        <v>0</v>
      </c>
      <c r="H9" s="22">
        <v>0</v>
      </c>
      <c r="I9" s="23">
        <f>IFERROR((E9*INDEX(Inputs!$B$4:$B$6,MATCH(D9,Inputs!$A$4:$A$6,0))+F9*INDEX(Inputs!$C$4:$C$6,MATCH(D9,Inputs!$A$4:$A$6,0)))/1000000,0)</f>
        <v>3.3E-3</v>
      </c>
      <c r="J9" s="23">
        <f>G9/60*Inputs!$B$9+H9/1000000*Inputs!$B$10</f>
        <v>0</v>
      </c>
      <c r="K9" s="24">
        <f t="shared" si="0"/>
        <v>3.3E-3</v>
      </c>
      <c r="L9" s="23">
        <f>I9*Inputs!$B$17+J9</f>
        <v>6.8640000000000003E-3</v>
      </c>
      <c r="M9" s="4" t="s">
        <v>120</v>
      </c>
      <c r="N9" s="6" t="s">
        <v>133</v>
      </c>
    </row>
    <row r="10" spans="1:14" ht="26" x14ac:dyDescent="0.35">
      <c r="A10" s="4" t="s">
        <v>134</v>
      </c>
      <c r="B10" s="4" t="s">
        <v>135</v>
      </c>
      <c r="C10" s="2" t="s">
        <v>136</v>
      </c>
      <c r="D10" s="4" t="s">
        <v>137</v>
      </c>
      <c r="E10" s="15">
        <v>0</v>
      </c>
      <c r="F10" s="15">
        <v>0</v>
      </c>
      <c r="G10" s="25">
        <f>Inputs!$B$11</f>
        <v>10</v>
      </c>
      <c r="H10" s="9">
        <f>Inputs!$B$12</f>
        <v>6000</v>
      </c>
      <c r="I10" s="23">
        <f>IFERROR((E10*INDEX(Inputs!$B$4:$B$6,MATCH(D10,Inputs!$A$4:$A$6,0))+F10*INDEX(Inputs!$C$4:$C$6,MATCH(D10,Inputs!$A$4:$A$6,0)))/1000000,0)</f>
        <v>0</v>
      </c>
      <c r="J10" s="23">
        <f>G10/60*Inputs!$B$9+H10/1000000*Inputs!$B$10</f>
        <v>0.26266666666666666</v>
      </c>
      <c r="K10" s="24">
        <f t="shared" si="0"/>
        <v>0.26266666666666666</v>
      </c>
      <c r="L10" s="23">
        <f>I10*Inputs!$B$17+J10</f>
        <v>0.26266666666666666</v>
      </c>
      <c r="M10" s="4" t="s">
        <v>138</v>
      </c>
      <c r="N10" s="6" t="s">
        <v>139</v>
      </c>
    </row>
    <row r="11" spans="1:14" x14ac:dyDescent="0.35">
      <c r="A11" s="4" t="s">
        <v>140</v>
      </c>
      <c r="B11" s="4" t="s">
        <v>141</v>
      </c>
      <c r="C11" s="2" t="s">
        <v>142</v>
      </c>
      <c r="D11" s="4" t="s">
        <v>137</v>
      </c>
      <c r="E11" s="15">
        <v>0</v>
      </c>
      <c r="F11" s="15">
        <v>0</v>
      </c>
      <c r="G11" s="25">
        <f>Inputs!$B$13</f>
        <v>0.5</v>
      </c>
      <c r="H11" s="9">
        <f>Inputs!$B$14</f>
        <v>600</v>
      </c>
      <c r="I11" s="23">
        <f>IFERROR((E11*INDEX(Inputs!$B$4:$B$6,MATCH(D11,Inputs!$A$4:$A$6,0))+F11*INDEX(Inputs!$C$4:$C$6,MATCH(D11,Inputs!$A$4:$A$6,0)))/1000000,0)</f>
        <v>0</v>
      </c>
      <c r="J11" s="23">
        <f>G11/60*Inputs!$B$9+H11/1000000*Inputs!$B$10</f>
        <v>1.7933333333333332E-2</v>
      </c>
      <c r="K11" s="24">
        <f t="shared" si="0"/>
        <v>1.7933333333333332E-2</v>
      </c>
      <c r="L11" s="23">
        <f>I11*Inputs!$B$17+J11</f>
        <v>1.7933333333333332E-2</v>
      </c>
      <c r="M11" s="4" t="s">
        <v>138</v>
      </c>
      <c r="N11" s="6" t="s">
        <v>143</v>
      </c>
    </row>
    <row r="12" spans="1:14" ht="26" x14ac:dyDescent="0.35">
      <c r="A12" s="4" t="s">
        <v>144</v>
      </c>
      <c r="B12" s="4" t="s">
        <v>145</v>
      </c>
      <c r="C12" s="2" t="s">
        <v>146</v>
      </c>
      <c r="D12" s="4" t="s">
        <v>41</v>
      </c>
      <c r="E12" s="15">
        <v>7000</v>
      </c>
      <c r="F12" s="15">
        <v>2500</v>
      </c>
      <c r="G12" s="21">
        <v>0</v>
      </c>
      <c r="H12" s="22">
        <v>0</v>
      </c>
      <c r="I12" s="23">
        <f>IFERROR((E12*INDEX(Inputs!$B$4:$B$6,MATCH(D12,Inputs!$A$4:$A$6,0))+F12*INDEX(Inputs!$C$4:$C$6,MATCH(D12,Inputs!$A$4:$A$6,0)))/1000000,0)</f>
        <v>5.8500000000000003E-2</v>
      </c>
      <c r="J12" s="23">
        <f>G12/60*Inputs!$B$9+H12/1000000*Inputs!$B$10</f>
        <v>0</v>
      </c>
      <c r="K12" s="24">
        <f t="shared" si="0"/>
        <v>5.8500000000000003E-2</v>
      </c>
      <c r="L12" s="23">
        <f>I12*Inputs!$B$17+J12</f>
        <v>0.12168000000000001</v>
      </c>
      <c r="M12" s="4" t="s">
        <v>115</v>
      </c>
      <c r="N12" s="6" t="s">
        <v>147</v>
      </c>
    </row>
    <row r="13" spans="1:14" x14ac:dyDescent="0.35">
      <c r="A13" s="4" t="s">
        <v>148</v>
      </c>
      <c r="B13" s="4" t="s">
        <v>149</v>
      </c>
      <c r="C13" s="2" t="s">
        <v>146</v>
      </c>
      <c r="D13" s="4" t="s">
        <v>41</v>
      </c>
      <c r="E13" s="15">
        <v>2500</v>
      </c>
      <c r="F13" s="15">
        <v>700</v>
      </c>
      <c r="G13" s="21">
        <v>0</v>
      </c>
      <c r="H13" s="22">
        <v>0</v>
      </c>
      <c r="I13" s="23">
        <f>IFERROR((E13*INDEX(Inputs!$B$4:$B$6,MATCH(D13,Inputs!$A$4:$A$6,0))+F13*INDEX(Inputs!$C$4:$C$6,MATCH(D13,Inputs!$A$4:$A$6,0)))/1000000,0)</f>
        <v>1.7999999999999999E-2</v>
      </c>
      <c r="J13" s="23">
        <f>G13/60*Inputs!$B$9+H13/1000000*Inputs!$B$10</f>
        <v>0</v>
      </c>
      <c r="K13" s="24">
        <f t="shared" si="0"/>
        <v>1.7999999999999999E-2</v>
      </c>
      <c r="L13" s="23">
        <f>I13*Inputs!$B$17+J13</f>
        <v>3.7440000000000001E-2</v>
      </c>
      <c r="M13" s="4" t="s">
        <v>115</v>
      </c>
      <c r="N13" s="6" t="s">
        <v>150</v>
      </c>
    </row>
    <row r="14" spans="1:14" x14ac:dyDescent="0.35">
      <c r="A14" s="4" t="s">
        <v>151</v>
      </c>
      <c r="B14" s="4" t="s">
        <v>152</v>
      </c>
      <c r="C14" s="2" t="s">
        <v>153</v>
      </c>
      <c r="D14" s="4" t="s">
        <v>41</v>
      </c>
      <c r="E14" s="15">
        <v>6000</v>
      </c>
      <c r="F14" s="15">
        <v>2500</v>
      </c>
      <c r="G14" s="21">
        <v>0</v>
      </c>
      <c r="H14" s="22">
        <v>0</v>
      </c>
      <c r="I14" s="23">
        <f>IFERROR((E14*INDEX(Inputs!$B$4:$B$6,MATCH(D14,Inputs!$A$4:$A$6,0))+F14*INDEX(Inputs!$C$4:$C$6,MATCH(D14,Inputs!$A$4:$A$6,0)))/1000000,0)</f>
        <v>5.5500000000000001E-2</v>
      </c>
      <c r="J14" s="23">
        <f>G14/60*Inputs!$B$9+H14/1000000*Inputs!$B$10</f>
        <v>0</v>
      </c>
      <c r="K14" s="24">
        <f t="shared" si="0"/>
        <v>5.5500000000000001E-2</v>
      </c>
      <c r="L14" s="23">
        <f>I14*Inputs!$B$17+J14</f>
        <v>0.11544</v>
      </c>
      <c r="M14" s="4" t="s">
        <v>115</v>
      </c>
      <c r="N14" s="6"/>
    </row>
    <row r="15" spans="1:14" x14ac:dyDescent="0.35">
      <c r="A15" s="4" t="s">
        <v>154</v>
      </c>
      <c r="B15" s="4" t="s">
        <v>155</v>
      </c>
      <c r="C15" s="2" t="s">
        <v>156</v>
      </c>
      <c r="D15" s="4" t="s">
        <v>41</v>
      </c>
      <c r="E15" s="15">
        <v>2500</v>
      </c>
      <c r="F15" s="15">
        <v>500</v>
      </c>
      <c r="G15" s="21">
        <v>0</v>
      </c>
      <c r="H15" s="22">
        <v>0</v>
      </c>
      <c r="I15" s="23">
        <f>IFERROR((E15*INDEX(Inputs!$B$4:$B$6,MATCH(D15,Inputs!$A$4:$A$6,0))+F15*INDEX(Inputs!$C$4:$C$6,MATCH(D15,Inputs!$A$4:$A$6,0)))/1000000,0)</f>
        <v>1.4999999999999999E-2</v>
      </c>
      <c r="J15" s="23">
        <f>G15/60*Inputs!$B$9+H15/1000000*Inputs!$B$10</f>
        <v>0</v>
      </c>
      <c r="K15" s="24">
        <f t="shared" si="0"/>
        <v>1.4999999999999999E-2</v>
      </c>
      <c r="L15" s="23">
        <f>I15*Inputs!$B$17+J15</f>
        <v>3.1199999999999999E-2</v>
      </c>
      <c r="M15" s="4" t="s">
        <v>115</v>
      </c>
      <c r="N15" s="6"/>
    </row>
    <row r="16" spans="1:14" x14ac:dyDescent="0.35">
      <c r="A16" s="4" t="s">
        <v>157</v>
      </c>
      <c r="B16" s="4" t="s">
        <v>158</v>
      </c>
      <c r="C16" s="2" t="s">
        <v>159</v>
      </c>
      <c r="D16" s="4" t="s">
        <v>41</v>
      </c>
      <c r="E16" s="15">
        <v>1500</v>
      </c>
      <c r="F16" s="15">
        <v>600</v>
      </c>
      <c r="G16" s="21">
        <v>0</v>
      </c>
      <c r="H16" s="22">
        <v>0</v>
      </c>
      <c r="I16" s="23">
        <f>IFERROR((E16*INDEX(Inputs!$B$4:$B$6,MATCH(D16,Inputs!$A$4:$A$6,0))+F16*INDEX(Inputs!$C$4:$C$6,MATCH(D16,Inputs!$A$4:$A$6,0)))/1000000,0)</f>
        <v>1.35E-2</v>
      </c>
      <c r="J16" s="23">
        <f>G16/60*Inputs!$B$9+H16/1000000*Inputs!$B$10</f>
        <v>0</v>
      </c>
      <c r="K16" s="24">
        <f t="shared" si="0"/>
        <v>1.35E-2</v>
      </c>
      <c r="L16" s="23">
        <f>I16*Inputs!$B$17+J16</f>
        <v>2.8080000000000001E-2</v>
      </c>
      <c r="M16" s="4" t="s">
        <v>115</v>
      </c>
      <c r="N16" s="6"/>
    </row>
    <row r="17" spans="1:14" x14ac:dyDescent="0.35">
      <c r="A17" s="4" t="s">
        <v>160</v>
      </c>
      <c r="B17" s="4" t="s">
        <v>161</v>
      </c>
      <c r="C17" s="2" t="s">
        <v>162</v>
      </c>
      <c r="D17" s="4" t="s">
        <v>41</v>
      </c>
      <c r="E17" s="15">
        <v>2000</v>
      </c>
      <c r="F17" s="15">
        <v>700</v>
      </c>
      <c r="G17" s="21">
        <v>0</v>
      </c>
      <c r="H17" s="22">
        <v>0</v>
      </c>
      <c r="I17" s="23">
        <f>IFERROR((E17*INDEX(Inputs!$B$4:$B$6,MATCH(D17,Inputs!$A$4:$A$6,0))+F17*INDEX(Inputs!$C$4:$C$6,MATCH(D17,Inputs!$A$4:$A$6,0)))/1000000,0)</f>
        <v>1.6500000000000001E-2</v>
      </c>
      <c r="J17" s="23">
        <f>G17/60*Inputs!$B$9+H17/1000000*Inputs!$B$10</f>
        <v>0</v>
      </c>
      <c r="K17" s="24">
        <f t="shared" si="0"/>
        <v>1.6500000000000001E-2</v>
      </c>
      <c r="L17" s="23">
        <f>I17*Inputs!$B$17+J17</f>
        <v>3.4320000000000003E-2</v>
      </c>
      <c r="M17" s="4" t="s">
        <v>115</v>
      </c>
      <c r="N17" s="6"/>
    </row>
    <row r="18" spans="1:14" ht="26" x14ac:dyDescent="0.35">
      <c r="A18" s="4" t="s">
        <v>163</v>
      </c>
      <c r="B18" s="4" t="s">
        <v>164</v>
      </c>
      <c r="C18" s="2" t="s">
        <v>165</v>
      </c>
      <c r="D18" s="4" t="s">
        <v>41</v>
      </c>
      <c r="E18" s="15">
        <v>21452</v>
      </c>
      <c r="F18" s="15">
        <v>1646</v>
      </c>
      <c r="G18" s="21">
        <v>0</v>
      </c>
      <c r="H18" s="22">
        <v>0</v>
      </c>
      <c r="I18" s="23">
        <f>IFERROR((E18*INDEX(Inputs!$B$4:$B$6,MATCH(D18,Inputs!$A$4:$A$6,0))+F18*INDEX(Inputs!$C$4:$C$6,MATCH(D18,Inputs!$A$4:$A$6,0)))/1000000,0)</f>
        <v>8.9046E-2</v>
      </c>
      <c r="J18" s="23">
        <f>G18/60*Inputs!$B$9+H18/1000000*Inputs!$B$10</f>
        <v>0</v>
      </c>
      <c r="K18" s="24">
        <f t="shared" si="0"/>
        <v>8.9046E-2</v>
      </c>
      <c r="L18" s="23">
        <f>I18*Inputs!$B$17+J18</f>
        <v>0.18521567999999999</v>
      </c>
      <c r="M18" s="4" t="s">
        <v>138</v>
      </c>
      <c r="N18" s="6" t="s">
        <v>166</v>
      </c>
    </row>
    <row r="19" spans="1:14" x14ac:dyDescent="0.35">
      <c r="A19" s="4" t="s">
        <v>167</v>
      </c>
      <c r="B19" s="4" t="s">
        <v>168</v>
      </c>
      <c r="C19" s="2" t="s">
        <v>169</v>
      </c>
      <c r="D19" s="4" t="s">
        <v>45</v>
      </c>
      <c r="E19" s="15">
        <v>2500</v>
      </c>
      <c r="F19" s="15">
        <v>2500</v>
      </c>
      <c r="G19" s="21">
        <v>0</v>
      </c>
      <c r="H19" s="22">
        <v>0</v>
      </c>
      <c r="I19" s="23">
        <f>IFERROR((E19*INDEX(Inputs!$B$4:$B$6,MATCH(D19,Inputs!$A$4:$A$6,0))+F19*INDEX(Inputs!$C$4:$C$6,MATCH(D19,Inputs!$A$4:$A$6,0)))/1000000,0)</f>
        <v>1.3125E-2</v>
      </c>
      <c r="J19" s="23">
        <f>G19/60*Inputs!$B$9+H19/1000000*Inputs!$B$10</f>
        <v>0</v>
      </c>
      <c r="K19" s="24">
        <f t="shared" si="0"/>
        <v>1.3125E-2</v>
      </c>
      <c r="L19" s="23">
        <f>I19*Inputs!$B$17+J19</f>
        <v>2.7300000000000001E-2</v>
      </c>
      <c r="M19" s="4" t="s">
        <v>120</v>
      </c>
      <c r="N19" s="6"/>
    </row>
    <row r="20" spans="1:14" x14ac:dyDescent="0.35">
      <c r="A20" s="4" t="s">
        <v>170</v>
      </c>
      <c r="B20" s="4" t="s">
        <v>171</v>
      </c>
      <c r="C20" s="2" t="s">
        <v>172</v>
      </c>
      <c r="D20" s="4" t="s">
        <v>41</v>
      </c>
      <c r="E20" s="15">
        <v>6000</v>
      </c>
      <c r="F20" s="15">
        <v>1500</v>
      </c>
      <c r="G20" s="21">
        <v>0</v>
      </c>
      <c r="H20" s="22">
        <v>0</v>
      </c>
      <c r="I20" s="23">
        <f>IFERROR((E20*INDEX(Inputs!$B$4:$B$6,MATCH(D20,Inputs!$A$4:$A$6,0))+F20*INDEX(Inputs!$C$4:$C$6,MATCH(D20,Inputs!$A$4:$A$6,0)))/1000000,0)</f>
        <v>4.0500000000000001E-2</v>
      </c>
      <c r="J20" s="23">
        <f>G20/60*Inputs!$B$9+H20/1000000*Inputs!$B$10</f>
        <v>0</v>
      </c>
      <c r="K20" s="24">
        <f t="shared" si="0"/>
        <v>4.0500000000000001E-2</v>
      </c>
      <c r="L20" s="23">
        <f>I20*Inputs!$B$17+J20</f>
        <v>8.4240000000000009E-2</v>
      </c>
      <c r="M20" s="4" t="s">
        <v>115</v>
      </c>
      <c r="N20" s="6" t="s">
        <v>173</v>
      </c>
    </row>
    <row r="21" spans="1:14" x14ac:dyDescent="0.35">
      <c r="A21" s="4" t="s">
        <v>174</v>
      </c>
      <c r="B21" s="4" t="s">
        <v>175</v>
      </c>
      <c r="C21" s="2" t="s">
        <v>176</v>
      </c>
      <c r="D21" s="4" t="s">
        <v>41</v>
      </c>
      <c r="E21" s="15">
        <v>5000</v>
      </c>
      <c r="F21" s="15">
        <v>1100</v>
      </c>
      <c r="G21" s="21">
        <v>0</v>
      </c>
      <c r="H21" s="22">
        <v>0</v>
      </c>
      <c r="I21" s="23">
        <f>IFERROR((E21*INDEX(Inputs!$B$4:$B$6,MATCH(D21,Inputs!$A$4:$A$6,0))+F21*INDEX(Inputs!$C$4:$C$6,MATCH(D21,Inputs!$A$4:$A$6,0)))/1000000,0)</f>
        <v>3.15E-2</v>
      </c>
      <c r="J21" s="23">
        <f>G21/60*Inputs!$B$9+H21/1000000*Inputs!$B$10</f>
        <v>0</v>
      </c>
      <c r="K21" s="24">
        <f t="shared" si="0"/>
        <v>3.15E-2</v>
      </c>
      <c r="L21" s="23">
        <f>I21*Inputs!$B$17+J21</f>
        <v>6.5520000000000009E-2</v>
      </c>
      <c r="M21" s="4" t="s">
        <v>115</v>
      </c>
      <c r="N21" s="6" t="s">
        <v>177</v>
      </c>
    </row>
    <row r="22" spans="1:14" x14ac:dyDescent="0.35">
      <c r="A22" s="4" t="s">
        <v>178</v>
      </c>
      <c r="B22" s="4" t="s">
        <v>179</v>
      </c>
      <c r="C22" s="2" t="s">
        <v>180</v>
      </c>
      <c r="D22" s="4" t="s">
        <v>41</v>
      </c>
      <c r="E22" s="15">
        <v>3000</v>
      </c>
      <c r="F22" s="15">
        <v>600</v>
      </c>
      <c r="G22" s="21">
        <v>0</v>
      </c>
      <c r="H22" s="22">
        <v>0</v>
      </c>
      <c r="I22" s="23">
        <f>IFERROR((E22*INDEX(Inputs!$B$4:$B$6,MATCH(D22,Inputs!$A$4:$A$6,0))+F22*INDEX(Inputs!$C$4:$C$6,MATCH(D22,Inputs!$A$4:$A$6,0)))/1000000,0)</f>
        <v>1.7999999999999999E-2</v>
      </c>
      <c r="J22" s="23">
        <f>G22/60*Inputs!$B$9+H22/1000000*Inputs!$B$10</f>
        <v>0</v>
      </c>
      <c r="K22" s="24">
        <f t="shared" si="0"/>
        <v>1.7999999999999999E-2</v>
      </c>
      <c r="L22" s="23">
        <f>I22*Inputs!$B$17+J22</f>
        <v>3.7440000000000001E-2</v>
      </c>
      <c r="M22" s="4" t="s">
        <v>115</v>
      </c>
      <c r="N22" s="6" t="s">
        <v>177</v>
      </c>
    </row>
    <row r="23" spans="1:14" x14ac:dyDescent="0.35">
      <c r="A23" s="4" t="s">
        <v>181</v>
      </c>
      <c r="B23" s="4" t="s">
        <v>182</v>
      </c>
      <c r="C23" s="2" t="s">
        <v>183</v>
      </c>
      <c r="D23" s="4" t="s">
        <v>45</v>
      </c>
      <c r="E23" s="15">
        <v>600</v>
      </c>
      <c r="F23" s="15">
        <v>300</v>
      </c>
      <c r="G23" s="21">
        <v>0</v>
      </c>
      <c r="H23" s="22">
        <v>0</v>
      </c>
      <c r="I23" s="23">
        <f>IFERROR((E23*INDEX(Inputs!$B$4:$B$6,MATCH(D23,Inputs!$A$4:$A$6,0))+F23*INDEX(Inputs!$C$4:$C$6,MATCH(D23,Inputs!$A$4:$A$6,0)))/1000000,0)</f>
        <v>1.8E-3</v>
      </c>
      <c r="J23" s="23">
        <f>G23/60*Inputs!$B$9+H23/1000000*Inputs!$B$10</f>
        <v>0</v>
      </c>
      <c r="K23" s="24">
        <f t="shared" si="0"/>
        <v>1.8E-3</v>
      </c>
      <c r="L23" s="23">
        <f>I23*Inputs!$B$17+J23</f>
        <v>3.7439999999999999E-3</v>
      </c>
      <c r="M23" s="4" t="s">
        <v>120</v>
      </c>
      <c r="N23" s="6"/>
    </row>
    <row r="24" spans="1:14" x14ac:dyDescent="0.35">
      <c r="A24" s="4" t="s">
        <v>184</v>
      </c>
      <c r="B24" s="4" t="s">
        <v>185</v>
      </c>
      <c r="C24" s="2" t="s">
        <v>186</v>
      </c>
      <c r="D24" s="4" t="s">
        <v>41</v>
      </c>
      <c r="E24" s="15">
        <v>7000</v>
      </c>
      <c r="F24" s="15">
        <v>2500</v>
      </c>
      <c r="G24" s="21">
        <v>0</v>
      </c>
      <c r="H24" s="22">
        <v>0</v>
      </c>
      <c r="I24" s="23">
        <f>IFERROR((E24*INDEX(Inputs!$B$4:$B$6,MATCH(D24,Inputs!$A$4:$A$6,0))+F24*INDEX(Inputs!$C$4:$C$6,MATCH(D24,Inputs!$A$4:$A$6,0)))/1000000,0)</f>
        <v>5.8500000000000003E-2</v>
      </c>
      <c r="J24" s="23">
        <f>G24/60*Inputs!$B$9+H24/1000000*Inputs!$B$10</f>
        <v>0</v>
      </c>
      <c r="K24" s="24">
        <f t="shared" si="0"/>
        <v>5.8500000000000003E-2</v>
      </c>
      <c r="L24" s="23">
        <f>I24*Inputs!$B$17+J24</f>
        <v>0.12168000000000001</v>
      </c>
      <c r="M24" s="4" t="s">
        <v>115</v>
      </c>
      <c r="N24" s="6" t="s">
        <v>187</v>
      </c>
    </row>
    <row r="25" spans="1:14" x14ac:dyDescent="0.35">
      <c r="A25" s="4" t="s">
        <v>188</v>
      </c>
      <c r="B25" s="4" t="s">
        <v>189</v>
      </c>
      <c r="C25" s="2" t="s">
        <v>190</v>
      </c>
      <c r="D25" s="4" t="s">
        <v>41</v>
      </c>
      <c r="E25" s="15">
        <v>2500</v>
      </c>
      <c r="F25" s="15">
        <v>800</v>
      </c>
      <c r="G25" s="21">
        <v>0</v>
      </c>
      <c r="H25" s="22">
        <v>0</v>
      </c>
      <c r="I25" s="23">
        <f>IFERROR((E25*INDEX(Inputs!$B$4:$B$6,MATCH(D25,Inputs!$A$4:$A$6,0))+F25*INDEX(Inputs!$C$4:$C$6,MATCH(D25,Inputs!$A$4:$A$6,0)))/1000000,0)</f>
        <v>1.95E-2</v>
      </c>
      <c r="J25" s="23">
        <f>G25/60*Inputs!$B$9+H25/1000000*Inputs!$B$10</f>
        <v>0</v>
      </c>
      <c r="K25" s="24">
        <f t="shared" si="0"/>
        <v>1.95E-2</v>
      </c>
      <c r="L25" s="23">
        <f>I25*Inputs!$B$17+J25</f>
        <v>4.0559999999999999E-2</v>
      </c>
      <c r="M25" s="4" t="s">
        <v>115</v>
      </c>
      <c r="N25" s="6"/>
    </row>
    <row r="26" spans="1:14" x14ac:dyDescent="0.35">
      <c r="A26" s="4" t="s">
        <v>191</v>
      </c>
      <c r="B26" s="4" t="s">
        <v>192</v>
      </c>
      <c r="C26" s="2" t="s">
        <v>193</v>
      </c>
      <c r="D26" s="4" t="s">
        <v>41</v>
      </c>
      <c r="E26" s="15">
        <v>6000</v>
      </c>
      <c r="F26" s="15">
        <v>2000</v>
      </c>
      <c r="G26" s="21">
        <v>0</v>
      </c>
      <c r="H26" s="22">
        <v>0</v>
      </c>
      <c r="I26" s="23">
        <f>IFERROR((E26*INDEX(Inputs!$B$4:$B$6,MATCH(D26,Inputs!$A$4:$A$6,0))+F26*INDEX(Inputs!$C$4:$C$6,MATCH(D26,Inputs!$A$4:$A$6,0)))/1000000,0)</f>
        <v>4.8000000000000001E-2</v>
      </c>
      <c r="J26" s="23">
        <f>G26/60*Inputs!$B$9+H26/1000000*Inputs!$B$10</f>
        <v>0</v>
      </c>
      <c r="K26" s="24">
        <f t="shared" si="0"/>
        <v>4.8000000000000001E-2</v>
      </c>
      <c r="L26" s="23">
        <f>I26*Inputs!$B$17+J26</f>
        <v>9.9840000000000012E-2</v>
      </c>
      <c r="M26" s="4" t="s">
        <v>115</v>
      </c>
      <c r="N26" s="6"/>
    </row>
    <row r="27" spans="1:14" x14ac:dyDescent="0.35">
      <c r="A27" s="4" t="s">
        <v>194</v>
      </c>
      <c r="B27" s="4" t="s">
        <v>195</v>
      </c>
      <c r="C27" s="2" t="s">
        <v>196</v>
      </c>
      <c r="D27" s="4" t="s">
        <v>41</v>
      </c>
      <c r="E27" s="15">
        <v>3000</v>
      </c>
      <c r="F27" s="15">
        <v>1200</v>
      </c>
      <c r="G27" s="21">
        <v>0</v>
      </c>
      <c r="H27" s="22">
        <v>0</v>
      </c>
      <c r="I27" s="23">
        <f>IFERROR((E27*INDEX(Inputs!$B$4:$B$6,MATCH(D27,Inputs!$A$4:$A$6,0))+F27*INDEX(Inputs!$C$4:$C$6,MATCH(D27,Inputs!$A$4:$A$6,0)))/1000000,0)</f>
        <v>2.7E-2</v>
      </c>
      <c r="J27" s="23">
        <f>G27/60*Inputs!$B$9+H27/1000000*Inputs!$B$10</f>
        <v>0</v>
      </c>
      <c r="K27" s="24">
        <f t="shared" si="0"/>
        <v>2.7E-2</v>
      </c>
      <c r="L27" s="23">
        <f>I27*Inputs!$B$17+J27</f>
        <v>5.6160000000000002E-2</v>
      </c>
      <c r="M27" s="4" t="s">
        <v>115</v>
      </c>
      <c r="N27" s="6"/>
    </row>
    <row r="28" spans="1:14" x14ac:dyDescent="0.35">
      <c r="A28" s="4" t="s">
        <v>197</v>
      </c>
      <c r="B28" s="4" t="s">
        <v>198</v>
      </c>
      <c r="C28" s="2" t="s">
        <v>199</v>
      </c>
      <c r="D28" s="4" t="s">
        <v>41</v>
      </c>
      <c r="E28" s="15">
        <v>3000</v>
      </c>
      <c r="F28" s="15">
        <v>600</v>
      </c>
      <c r="G28" s="21">
        <v>0</v>
      </c>
      <c r="H28" s="22">
        <v>0</v>
      </c>
      <c r="I28" s="23">
        <f>IFERROR((E28*INDEX(Inputs!$B$4:$B$6,MATCH(D28,Inputs!$A$4:$A$6,0))+F28*INDEX(Inputs!$C$4:$C$6,MATCH(D28,Inputs!$A$4:$A$6,0)))/1000000,0)</f>
        <v>1.7999999999999999E-2</v>
      </c>
      <c r="J28" s="23">
        <f>G28/60*Inputs!$B$9+H28/1000000*Inputs!$B$10</f>
        <v>0</v>
      </c>
      <c r="K28" s="24">
        <f t="shared" si="0"/>
        <v>1.7999999999999999E-2</v>
      </c>
      <c r="L28" s="23">
        <f>I28*Inputs!$B$17+J28</f>
        <v>3.7440000000000001E-2</v>
      </c>
      <c r="M28" s="4" t="s">
        <v>115</v>
      </c>
      <c r="N28" s="6"/>
    </row>
    <row r="29" spans="1:14" x14ac:dyDescent="0.35">
      <c r="A29" s="4" t="s">
        <v>200</v>
      </c>
      <c r="B29" s="4" t="s">
        <v>201</v>
      </c>
      <c r="C29" s="2" t="s">
        <v>202</v>
      </c>
      <c r="D29" s="4" t="s">
        <v>41</v>
      </c>
      <c r="E29" s="15">
        <v>1837</v>
      </c>
      <c r="F29" s="15">
        <v>738</v>
      </c>
      <c r="G29" s="21">
        <v>0</v>
      </c>
      <c r="H29" s="22">
        <v>0</v>
      </c>
      <c r="I29" s="23">
        <f>IFERROR((E29*INDEX(Inputs!$B$4:$B$6,MATCH(D29,Inputs!$A$4:$A$6,0))+F29*INDEX(Inputs!$C$4:$C$6,MATCH(D29,Inputs!$A$4:$A$6,0)))/1000000,0)</f>
        <v>1.6580999999999999E-2</v>
      </c>
      <c r="J29" s="23">
        <f>G29/60*Inputs!$B$9+H29/1000000*Inputs!$B$10</f>
        <v>0</v>
      </c>
      <c r="K29" s="24">
        <f t="shared" si="0"/>
        <v>1.6580999999999999E-2</v>
      </c>
      <c r="L29" s="23">
        <f>I29*Inputs!$B$17+J29</f>
        <v>3.4488479999999995E-2</v>
      </c>
      <c r="M29" s="4" t="s">
        <v>115</v>
      </c>
      <c r="N29" s="6" t="s">
        <v>203</v>
      </c>
    </row>
    <row r="30" spans="1:14" x14ac:dyDescent="0.35">
      <c r="A30" s="4" t="s">
        <v>204</v>
      </c>
      <c r="B30" s="4" t="s">
        <v>205</v>
      </c>
      <c r="C30" s="2" t="s">
        <v>206</v>
      </c>
      <c r="D30" s="4" t="s">
        <v>45</v>
      </c>
      <c r="E30" s="15">
        <v>1200</v>
      </c>
      <c r="F30" s="15">
        <v>900</v>
      </c>
      <c r="G30" s="21">
        <v>0</v>
      </c>
      <c r="H30" s="22">
        <v>0</v>
      </c>
      <c r="I30" s="23">
        <f>IFERROR((E30*INDEX(Inputs!$B$4:$B$6,MATCH(D30,Inputs!$A$4:$A$6,0))+F30*INDEX(Inputs!$C$4:$C$6,MATCH(D30,Inputs!$A$4:$A$6,0)))/1000000,0)</f>
        <v>4.9500000000000004E-3</v>
      </c>
      <c r="J30" s="23">
        <f>G30/60*Inputs!$B$9+H30/1000000*Inputs!$B$10</f>
        <v>0</v>
      </c>
      <c r="K30" s="24">
        <f t="shared" si="0"/>
        <v>4.9500000000000004E-3</v>
      </c>
      <c r="L30" s="23">
        <f>I30*Inputs!$B$17+J30</f>
        <v>1.0296000000000001E-2</v>
      </c>
      <c r="M30" s="4" t="s">
        <v>120</v>
      </c>
      <c r="N30" s="6"/>
    </row>
    <row r="31" spans="1:14" x14ac:dyDescent="0.35">
      <c r="A31" s="4" t="s">
        <v>207</v>
      </c>
      <c r="B31" s="4" t="s">
        <v>208</v>
      </c>
      <c r="C31" s="2" t="s">
        <v>209</v>
      </c>
      <c r="D31" s="4" t="s">
        <v>45</v>
      </c>
      <c r="E31" s="15">
        <v>1200</v>
      </c>
      <c r="F31" s="15">
        <v>1000</v>
      </c>
      <c r="G31" s="21">
        <v>0</v>
      </c>
      <c r="H31" s="22">
        <v>0</v>
      </c>
      <c r="I31" s="23">
        <f>IFERROR((E31*INDEX(Inputs!$B$4:$B$6,MATCH(D31,Inputs!$A$4:$A$6,0))+F31*INDEX(Inputs!$C$4:$C$6,MATCH(D31,Inputs!$A$4:$A$6,0)))/1000000,0)</f>
        <v>5.4000000000000003E-3</v>
      </c>
      <c r="J31" s="23">
        <f>G31/60*Inputs!$B$9+H31/1000000*Inputs!$B$10</f>
        <v>0</v>
      </c>
      <c r="K31" s="24">
        <f t="shared" si="0"/>
        <v>5.4000000000000003E-3</v>
      </c>
      <c r="L31" s="23">
        <f>I31*Inputs!$B$17+J31</f>
        <v>1.1232000000000001E-2</v>
      </c>
      <c r="M31" s="4" t="s">
        <v>120</v>
      </c>
      <c r="N31" s="6"/>
    </row>
    <row r="32" spans="1:14" x14ac:dyDescent="0.35">
      <c r="A32" s="4" t="s">
        <v>210</v>
      </c>
      <c r="B32" s="4" t="s">
        <v>211</v>
      </c>
      <c r="C32" s="2" t="s">
        <v>212</v>
      </c>
      <c r="D32" s="4" t="s">
        <v>45</v>
      </c>
      <c r="E32" s="15">
        <v>800</v>
      </c>
      <c r="F32" s="15">
        <v>1000</v>
      </c>
      <c r="G32" s="21">
        <v>0</v>
      </c>
      <c r="H32" s="22">
        <v>0</v>
      </c>
      <c r="I32" s="23">
        <f>IFERROR((E32*INDEX(Inputs!$B$4:$B$6,MATCH(D32,Inputs!$A$4:$A$6,0))+F32*INDEX(Inputs!$C$4:$C$6,MATCH(D32,Inputs!$A$4:$A$6,0)))/1000000,0)</f>
        <v>5.1000000000000004E-3</v>
      </c>
      <c r="J32" s="23">
        <f>G32/60*Inputs!$B$9+H32/1000000*Inputs!$B$10</f>
        <v>0</v>
      </c>
      <c r="K32" s="24">
        <f t="shared" si="0"/>
        <v>5.1000000000000004E-3</v>
      </c>
      <c r="L32" s="23">
        <f>I32*Inputs!$B$17+J32</f>
        <v>1.0608000000000001E-2</v>
      </c>
      <c r="M32" s="4" t="s">
        <v>120</v>
      </c>
      <c r="N32" s="6"/>
    </row>
    <row r="33" spans="1:14" x14ac:dyDescent="0.35">
      <c r="A33" s="4" t="s">
        <v>213</v>
      </c>
      <c r="B33" s="4" t="s">
        <v>214</v>
      </c>
      <c r="C33" s="2" t="s">
        <v>215</v>
      </c>
      <c r="D33" s="4" t="s">
        <v>45</v>
      </c>
      <c r="E33" s="15">
        <v>1200</v>
      </c>
      <c r="F33" s="15">
        <v>800</v>
      </c>
      <c r="G33" s="21">
        <v>0</v>
      </c>
      <c r="H33" s="22">
        <v>0</v>
      </c>
      <c r="I33" s="23">
        <f>IFERROR((E33*INDEX(Inputs!$B$4:$B$6,MATCH(D33,Inputs!$A$4:$A$6,0))+F33*INDEX(Inputs!$C$4:$C$6,MATCH(D33,Inputs!$A$4:$A$6,0)))/1000000,0)</f>
        <v>4.4999999999999997E-3</v>
      </c>
      <c r="J33" s="23">
        <f>G33/60*Inputs!$B$9+H33/1000000*Inputs!$B$10</f>
        <v>0</v>
      </c>
      <c r="K33" s="24">
        <f t="shared" si="0"/>
        <v>4.4999999999999997E-3</v>
      </c>
      <c r="L33" s="23">
        <f>I33*Inputs!$B$17+J33</f>
        <v>9.3600000000000003E-3</v>
      </c>
      <c r="M33" s="4" t="s">
        <v>120</v>
      </c>
      <c r="N33" s="6"/>
    </row>
    <row r="35" spans="1:14" x14ac:dyDescent="0.35">
      <c r="A35" s="2" t="s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8"/>
  <sheetViews>
    <sheetView showGridLines="0" workbookViewId="0"/>
  </sheetViews>
  <sheetFormatPr defaultRowHeight="14.5" x14ac:dyDescent="0.35"/>
  <cols>
    <col min="1" max="1" width="6" customWidth="1"/>
    <col min="2" max="2" width="38" customWidth="1"/>
    <col min="3" max="3" width="24" customWidth="1"/>
    <col min="4" max="4" width="7" customWidth="1"/>
    <col min="5" max="7" width="9" customWidth="1"/>
    <col min="8" max="9" width="12" customWidth="1"/>
    <col min="10" max="15" width="11" customWidth="1"/>
  </cols>
  <sheetData>
    <row r="1" spans="1:15" ht="20" x14ac:dyDescent="0.4">
      <c r="A1" s="1" t="s">
        <v>217</v>
      </c>
    </row>
    <row r="2" spans="1:15" x14ac:dyDescent="0.35">
      <c r="A2" s="2" t="s">
        <v>218</v>
      </c>
    </row>
    <row r="4" spans="1:15" x14ac:dyDescent="0.35">
      <c r="A4" s="3" t="s">
        <v>99</v>
      </c>
      <c r="B4" s="3" t="s">
        <v>100</v>
      </c>
      <c r="C4" s="3" t="s">
        <v>219</v>
      </c>
      <c r="D4" s="3" t="s">
        <v>220</v>
      </c>
      <c r="E4" s="3" t="s">
        <v>3</v>
      </c>
      <c r="F4" s="3" t="s">
        <v>4</v>
      </c>
      <c r="G4" s="3" t="s">
        <v>5</v>
      </c>
      <c r="H4" s="3" t="s">
        <v>221</v>
      </c>
      <c r="I4" s="3" t="s">
        <v>222</v>
      </c>
      <c r="J4" s="3" t="s">
        <v>223</v>
      </c>
      <c r="K4" s="3" t="s">
        <v>224</v>
      </c>
      <c r="L4" s="3" t="s">
        <v>225</v>
      </c>
      <c r="M4" s="3" t="s">
        <v>226</v>
      </c>
      <c r="N4" s="3" t="s">
        <v>227</v>
      </c>
      <c r="O4" s="3" t="s">
        <v>228</v>
      </c>
    </row>
    <row r="5" spans="1:15" x14ac:dyDescent="0.35">
      <c r="A5" s="4" t="s">
        <v>112</v>
      </c>
      <c r="B5" s="26" t="str">
        <f>AI_Costs!B5</f>
        <v>Daily insight</v>
      </c>
      <c r="C5" s="2" t="s">
        <v>229</v>
      </c>
      <c r="D5" s="22">
        <v>1</v>
      </c>
      <c r="E5" s="14">
        <v>6</v>
      </c>
      <c r="F5" s="14">
        <v>14</v>
      </c>
      <c r="G5" s="14">
        <v>22</v>
      </c>
      <c r="H5" s="27">
        <f>AI_Costs!K5</f>
        <v>7.1999999999999998E-3</v>
      </c>
      <c r="I5" s="27">
        <f>AI_Costs!L5</f>
        <v>1.4976E-2</v>
      </c>
      <c r="J5" s="23">
        <f t="shared" ref="J5:J33" si="0">E5*H5/$D5</f>
        <v>4.3200000000000002E-2</v>
      </c>
      <c r="K5" s="23">
        <f t="shared" ref="K5:K33" si="1">F5*H5/$D5</f>
        <v>0.1008</v>
      </c>
      <c r="L5" s="23">
        <f t="shared" ref="L5:L33" si="2">G5*H5/$D5</f>
        <v>0.15839999999999999</v>
      </c>
      <c r="M5" s="23">
        <f t="shared" ref="M5:M33" si="3">E5*I5/$D5</f>
        <v>8.9855999999999991E-2</v>
      </c>
      <c r="N5" s="23">
        <f t="shared" ref="N5:N33" si="4">F5*I5/$D5</f>
        <v>0.20966399999999999</v>
      </c>
      <c r="O5" s="23">
        <f t="shared" ref="O5:O33" si="5">G5*I5/$D5</f>
        <v>0.32947199999999999</v>
      </c>
    </row>
    <row r="6" spans="1:15" x14ac:dyDescent="0.35">
      <c r="A6" s="4" t="s">
        <v>117</v>
      </c>
      <c r="B6" s="26" t="str">
        <f>AI_Costs!B6</f>
        <v>Coach reply</v>
      </c>
      <c r="C6" s="2" t="s">
        <v>230</v>
      </c>
      <c r="D6" s="22">
        <v>1</v>
      </c>
      <c r="E6" s="14">
        <v>3</v>
      </c>
      <c r="F6" s="14">
        <v>20</v>
      </c>
      <c r="G6" s="14">
        <v>80</v>
      </c>
      <c r="H6" s="27">
        <f>AI_Costs!K6</f>
        <v>2.7000000000000001E-3</v>
      </c>
      <c r="I6" s="27">
        <f>AI_Costs!L6</f>
        <v>5.6160000000000003E-3</v>
      </c>
      <c r="J6" s="23">
        <f t="shared" si="0"/>
        <v>8.0999999999999996E-3</v>
      </c>
      <c r="K6" s="23">
        <f t="shared" si="1"/>
        <v>5.4000000000000006E-2</v>
      </c>
      <c r="L6" s="23">
        <f t="shared" si="2"/>
        <v>0.21600000000000003</v>
      </c>
      <c r="M6" s="23">
        <f t="shared" si="3"/>
        <v>1.6848000000000002E-2</v>
      </c>
      <c r="N6" s="23">
        <f t="shared" si="4"/>
        <v>0.11232</v>
      </c>
      <c r="O6" s="23">
        <f t="shared" si="5"/>
        <v>0.44928000000000001</v>
      </c>
    </row>
    <row r="7" spans="1:15" x14ac:dyDescent="0.35">
      <c r="A7" s="4" t="s">
        <v>122</v>
      </c>
      <c r="B7" s="26" t="str">
        <f>AI_Costs!B7</f>
        <v>Coach memory update</v>
      </c>
      <c r="C7" s="2" t="s">
        <v>231</v>
      </c>
      <c r="D7" s="22">
        <v>1</v>
      </c>
      <c r="E7" s="21">
        <f>E6</f>
        <v>3</v>
      </c>
      <c r="F7" s="21">
        <f>F6</f>
        <v>20</v>
      </c>
      <c r="G7" s="21">
        <f>G6</f>
        <v>80</v>
      </c>
      <c r="H7" s="27">
        <f>AI_Costs!K7</f>
        <v>2.65E-3</v>
      </c>
      <c r="I7" s="27">
        <f>AI_Costs!L7</f>
        <v>5.5120000000000004E-3</v>
      </c>
      <c r="J7" s="23">
        <f t="shared" si="0"/>
        <v>7.9500000000000005E-3</v>
      </c>
      <c r="K7" s="23">
        <f t="shared" si="1"/>
        <v>5.2999999999999999E-2</v>
      </c>
      <c r="L7" s="23">
        <f t="shared" si="2"/>
        <v>0.21199999999999999</v>
      </c>
      <c r="M7" s="23">
        <f t="shared" si="3"/>
        <v>1.6536000000000002E-2</v>
      </c>
      <c r="N7" s="23">
        <f t="shared" si="4"/>
        <v>0.11024</v>
      </c>
      <c r="O7" s="23">
        <f t="shared" si="5"/>
        <v>0.44096000000000002</v>
      </c>
    </row>
    <row r="8" spans="1:15" x14ac:dyDescent="0.35">
      <c r="A8" s="4" t="s">
        <v>126</v>
      </c>
      <c r="B8" s="26" t="str">
        <f>AI_Costs!B8</f>
        <v>Coach session summary</v>
      </c>
      <c r="C8" s="2" t="s">
        <v>232</v>
      </c>
      <c r="D8" s="22">
        <v>1</v>
      </c>
      <c r="E8" s="21">
        <f>E6/8</f>
        <v>0.375</v>
      </c>
      <c r="F8" s="21">
        <f>F6/8</f>
        <v>2.5</v>
      </c>
      <c r="G8" s="21">
        <f>G6/8</f>
        <v>10</v>
      </c>
      <c r="H8" s="27">
        <f>AI_Costs!K8</f>
        <v>7.0000000000000001E-3</v>
      </c>
      <c r="I8" s="27">
        <f>AI_Costs!L8</f>
        <v>1.456E-2</v>
      </c>
      <c r="J8" s="23">
        <f t="shared" si="0"/>
        <v>2.6250000000000002E-3</v>
      </c>
      <c r="K8" s="23">
        <f t="shared" si="1"/>
        <v>1.7500000000000002E-2</v>
      </c>
      <c r="L8" s="23">
        <f t="shared" si="2"/>
        <v>7.0000000000000007E-2</v>
      </c>
      <c r="M8" s="23">
        <f t="shared" si="3"/>
        <v>5.4599999999999996E-3</v>
      </c>
      <c r="N8" s="23">
        <f t="shared" si="4"/>
        <v>3.6400000000000002E-2</v>
      </c>
      <c r="O8" s="23">
        <f t="shared" si="5"/>
        <v>0.14560000000000001</v>
      </c>
    </row>
    <row r="9" spans="1:15" x14ac:dyDescent="0.35">
      <c r="A9" s="4" t="s">
        <v>130</v>
      </c>
      <c r="B9" s="26" t="str">
        <f>AI_Costs!B9</f>
        <v>Role-play turn (text)</v>
      </c>
      <c r="C9" s="2" t="s">
        <v>233</v>
      </c>
      <c r="D9" s="22">
        <v>1</v>
      </c>
      <c r="E9" s="14">
        <v>1</v>
      </c>
      <c r="F9" s="14">
        <v>10</v>
      </c>
      <c r="G9" s="14">
        <v>30</v>
      </c>
      <c r="H9" s="27">
        <f>AI_Costs!K9</f>
        <v>3.3E-3</v>
      </c>
      <c r="I9" s="27">
        <f>AI_Costs!L9</f>
        <v>6.8640000000000003E-3</v>
      </c>
      <c r="J9" s="23">
        <f t="shared" si="0"/>
        <v>3.3E-3</v>
      </c>
      <c r="K9" s="23">
        <f t="shared" si="1"/>
        <v>3.3000000000000002E-2</v>
      </c>
      <c r="L9" s="23">
        <f t="shared" si="2"/>
        <v>9.9000000000000005E-2</v>
      </c>
      <c r="M9" s="23">
        <f t="shared" si="3"/>
        <v>6.8640000000000003E-3</v>
      </c>
      <c r="N9" s="23">
        <f t="shared" si="4"/>
        <v>6.8640000000000007E-2</v>
      </c>
      <c r="O9" s="23">
        <f t="shared" si="5"/>
        <v>0.20592000000000002</v>
      </c>
    </row>
    <row r="10" spans="1:15" x14ac:dyDescent="0.35">
      <c r="A10" s="4" t="s">
        <v>134</v>
      </c>
      <c r="B10" s="26" t="str">
        <f>AI_Costs!B10</f>
        <v>Voice role-play session (speech only)</v>
      </c>
      <c r="C10" s="2" t="s">
        <v>234</v>
      </c>
      <c r="D10" s="22">
        <v>1</v>
      </c>
      <c r="E10" s="14">
        <v>0</v>
      </c>
      <c r="F10" s="14">
        <v>0.1</v>
      </c>
      <c r="G10" s="14">
        <v>0.5</v>
      </c>
      <c r="H10" s="27">
        <f>AI_Costs!K10</f>
        <v>0.26266666666666666</v>
      </c>
      <c r="I10" s="27">
        <f>AI_Costs!L10</f>
        <v>0.26266666666666666</v>
      </c>
      <c r="J10" s="23">
        <f t="shared" si="0"/>
        <v>0</v>
      </c>
      <c r="K10" s="23">
        <f t="shared" si="1"/>
        <v>2.6266666666666667E-2</v>
      </c>
      <c r="L10" s="23">
        <f t="shared" si="2"/>
        <v>0.13133333333333333</v>
      </c>
      <c r="M10" s="23">
        <f t="shared" si="3"/>
        <v>0</v>
      </c>
      <c r="N10" s="23">
        <f t="shared" si="4"/>
        <v>2.6266666666666667E-2</v>
      </c>
      <c r="O10" s="23">
        <f t="shared" si="5"/>
        <v>0.13133333333333333</v>
      </c>
    </row>
    <row r="11" spans="1:15" x14ac:dyDescent="0.35">
      <c r="A11" s="4" t="s">
        <v>140</v>
      </c>
      <c r="B11" s="26" t="str">
        <f>AI_Costs!B11</f>
        <v>Coach voice exchange (speech only)</v>
      </c>
      <c r="C11" s="2" t="s">
        <v>235</v>
      </c>
      <c r="D11" s="22">
        <v>1</v>
      </c>
      <c r="E11" s="14">
        <v>0</v>
      </c>
      <c r="F11" s="14">
        <v>0</v>
      </c>
      <c r="G11" s="14">
        <v>5</v>
      </c>
      <c r="H11" s="27">
        <f>AI_Costs!K11</f>
        <v>1.7933333333333332E-2</v>
      </c>
      <c r="I11" s="27">
        <f>AI_Costs!L11</f>
        <v>1.7933333333333332E-2</v>
      </c>
      <c r="J11" s="23">
        <f t="shared" si="0"/>
        <v>0</v>
      </c>
      <c r="K11" s="23">
        <f t="shared" si="1"/>
        <v>0</v>
      </c>
      <c r="L11" s="23">
        <f t="shared" si="2"/>
        <v>8.9666666666666658E-2</v>
      </c>
      <c r="M11" s="23">
        <f t="shared" si="3"/>
        <v>0</v>
      </c>
      <c r="N11" s="23">
        <f t="shared" si="4"/>
        <v>0</v>
      </c>
      <c r="O11" s="23">
        <f t="shared" si="5"/>
        <v>8.9666666666666658E-2</v>
      </c>
    </row>
    <row r="12" spans="1:15" x14ac:dyDescent="0.35">
      <c r="A12" s="4" t="s">
        <v>144</v>
      </c>
      <c r="B12" s="26" t="str">
        <f>AI_Costs!B12</f>
        <v>Gap analysis: competency extraction</v>
      </c>
      <c r="C12" s="2" t="s">
        <v>236</v>
      </c>
      <c r="D12" s="22">
        <v>1</v>
      </c>
      <c r="E12" s="14">
        <v>0.05</v>
      </c>
      <c r="F12" s="14">
        <v>0.25</v>
      </c>
      <c r="G12" s="14">
        <v>1</v>
      </c>
      <c r="H12" s="27">
        <f>AI_Costs!K12</f>
        <v>5.8500000000000003E-2</v>
      </c>
      <c r="I12" s="27">
        <f>AI_Costs!L12</f>
        <v>0.12168000000000001</v>
      </c>
      <c r="J12" s="23">
        <f t="shared" si="0"/>
        <v>2.9250000000000005E-3</v>
      </c>
      <c r="K12" s="23">
        <f t="shared" si="1"/>
        <v>1.4625000000000001E-2</v>
      </c>
      <c r="L12" s="23">
        <f t="shared" si="2"/>
        <v>5.8500000000000003E-2</v>
      </c>
      <c r="M12" s="23">
        <f t="shared" si="3"/>
        <v>6.0840000000000009E-3</v>
      </c>
      <c r="N12" s="23">
        <f t="shared" si="4"/>
        <v>3.0420000000000003E-2</v>
      </c>
      <c r="O12" s="23">
        <f t="shared" si="5"/>
        <v>0.12168000000000001</v>
      </c>
    </row>
    <row r="13" spans="1:15" x14ac:dyDescent="0.35">
      <c r="A13" s="4" t="s">
        <v>148</v>
      </c>
      <c r="B13" s="26" t="str">
        <f>AI_Costs!B13</f>
        <v>Gap analysis: role-context inference</v>
      </c>
      <c r="C13" s="2" t="s">
        <v>237</v>
      </c>
      <c r="D13" s="22">
        <v>1</v>
      </c>
      <c r="E13" s="21">
        <f>E12</f>
        <v>0.05</v>
      </c>
      <c r="F13" s="21">
        <f>F12</f>
        <v>0.25</v>
      </c>
      <c r="G13" s="21">
        <f>G12</f>
        <v>1</v>
      </c>
      <c r="H13" s="27">
        <f>AI_Costs!K13</f>
        <v>1.7999999999999999E-2</v>
      </c>
      <c r="I13" s="27">
        <f>AI_Costs!L13</f>
        <v>3.7440000000000001E-2</v>
      </c>
      <c r="J13" s="23">
        <f t="shared" si="0"/>
        <v>8.9999999999999998E-4</v>
      </c>
      <c r="K13" s="23">
        <f t="shared" si="1"/>
        <v>4.4999999999999997E-3</v>
      </c>
      <c r="L13" s="23">
        <f t="shared" si="2"/>
        <v>1.7999999999999999E-2</v>
      </c>
      <c r="M13" s="23">
        <f t="shared" si="3"/>
        <v>1.8720000000000002E-3</v>
      </c>
      <c r="N13" s="23">
        <f t="shared" si="4"/>
        <v>9.3600000000000003E-3</v>
      </c>
      <c r="O13" s="23">
        <f t="shared" si="5"/>
        <v>3.7440000000000001E-2</v>
      </c>
    </row>
    <row r="14" spans="1:15" x14ac:dyDescent="0.35">
      <c r="A14" s="4" t="s">
        <v>151</v>
      </c>
      <c r="B14" s="26" t="str">
        <f>AI_Costs!B14</f>
        <v>Resume Intelligence</v>
      </c>
      <c r="C14" s="2" t="s">
        <v>238</v>
      </c>
      <c r="D14" s="22">
        <v>1</v>
      </c>
      <c r="E14" s="14">
        <v>0.05</v>
      </c>
      <c r="F14" s="14">
        <v>0.15</v>
      </c>
      <c r="G14" s="14">
        <v>0.5</v>
      </c>
      <c r="H14" s="27">
        <f>AI_Costs!K14</f>
        <v>5.5500000000000001E-2</v>
      </c>
      <c r="I14" s="27">
        <f>AI_Costs!L14</f>
        <v>0.11544</v>
      </c>
      <c r="J14" s="23">
        <f t="shared" si="0"/>
        <v>2.7750000000000001E-3</v>
      </c>
      <c r="K14" s="23">
        <f t="shared" si="1"/>
        <v>8.3249999999999991E-3</v>
      </c>
      <c r="L14" s="23">
        <f t="shared" si="2"/>
        <v>2.775E-2</v>
      </c>
      <c r="M14" s="23">
        <f t="shared" si="3"/>
        <v>5.7720000000000002E-3</v>
      </c>
      <c r="N14" s="23">
        <f t="shared" si="4"/>
        <v>1.7315999999999998E-2</v>
      </c>
      <c r="O14" s="23">
        <f t="shared" si="5"/>
        <v>5.772E-2</v>
      </c>
    </row>
    <row r="15" spans="1:15" x14ac:dyDescent="0.35">
      <c r="A15" s="4" t="s">
        <v>154</v>
      </c>
      <c r="B15" s="26" t="str">
        <f>AI_Costs!B15</f>
        <v>Career GPS what-if</v>
      </c>
      <c r="C15" s="2" t="s">
        <v>239</v>
      </c>
      <c r="D15" s="22">
        <v>1</v>
      </c>
      <c r="E15" s="14">
        <v>0.1</v>
      </c>
      <c r="F15" s="14">
        <v>0.5</v>
      </c>
      <c r="G15" s="14">
        <v>2</v>
      </c>
      <c r="H15" s="27">
        <f>AI_Costs!K15</f>
        <v>1.4999999999999999E-2</v>
      </c>
      <c r="I15" s="27">
        <f>AI_Costs!L15</f>
        <v>3.1199999999999999E-2</v>
      </c>
      <c r="J15" s="23">
        <f t="shared" si="0"/>
        <v>1.5E-3</v>
      </c>
      <c r="K15" s="23">
        <f t="shared" si="1"/>
        <v>7.4999999999999997E-3</v>
      </c>
      <c r="L15" s="23">
        <f t="shared" si="2"/>
        <v>0.03</v>
      </c>
      <c r="M15" s="23">
        <f t="shared" si="3"/>
        <v>3.1199999999999999E-3</v>
      </c>
      <c r="N15" s="23">
        <f t="shared" si="4"/>
        <v>1.5599999999999999E-2</v>
      </c>
      <c r="O15" s="23">
        <f t="shared" si="5"/>
        <v>6.2399999999999997E-2</v>
      </c>
    </row>
    <row r="16" spans="1:15" x14ac:dyDescent="0.35">
      <c r="A16" s="4" t="s">
        <v>157</v>
      </c>
      <c r="B16" s="26" t="str">
        <f>AI_Costs!B16</f>
        <v>Notes analysis</v>
      </c>
      <c r="C16" s="2" t="s">
        <v>240</v>
      </c>
      <c r="D16" s="22">
        <v>1</v>
      </c>
      <c r="E16" s="14">
        <v>0.3</v>
      </c>
      <c r="F16" s="14">
        <v>1.5</v>
      </c>
      <c r="G16" s="14">
        <v>4</v>
      </c>
      <c r="H16" s="27">
        <f>AI_Costs!K16</f>
        <v>1.35E-2</v>
      </c>
      <c r="I16" s="27">
        <f>AI_Costs!L16</f>
        <v>2.8080000000000001E-2</v>
      </c>
      <c r="J16" s="23">
        <f t="shared" si="0"/>
        <v>4.0499999999999998E-3</v>
      </c>
      <c r="K16" s="23">
        <f t="shared" si="1"/>
        <v>2.0250000000000001E-2</v>
      </c>
      <c r="L16" s="23">
        <f t="shared" si="2"/>
        <v>5.3999999999999999E-2</v>
      </c>
      <c r="M16" s="23">
        <f t="shared" si="3"/>
        <v>8.4239999999999992E-3</v>
      </c>
      <c r="N16" s="23">
        <f t="shared" si="4"/>
        <v>4.2120000000000005E-2</v>
      </c>
      <c r="O16" s="23">
        <f t="shared" si="5"/>
        <v>0.11232</v>
      </c>
    </row>
    <row r="17" spans="1:15" x14ac:dyDescent="0.35">
      <c r="A17" s="4" t="s">
        <v>160</v>
      </c>
      <c r="B17" s="26" t="str">
        <f>AI_Costs!B17</f>
        <v>Case-study scoring</v>
      </c>
      <c r="C17" s="2" t="s">
        <v>241</v>
      </c>
      <c r="D17" s="22">
        <v>1</v>
      </c>
      <c r="E17" s="14">
        <v>0.05</v>
      </c>
      <c r="F17" s="14">
        <v>0.2</v>
      </c>
      <c r="G17" s="14">
        <v>0.5</v>
      </c>
      <c r="H17" s="27">
        <f>AI_Costs!K17</f>
        <v>1.6500000000000001E-2</v>
      </c>
      <c r="I17" s="27">
        <f>AI_Costs!L17</f>
        <v>3.4320000000000003E-2</v>
      </c>
      <c r="J17" s="23">
        <f t="shared" si="0"/>
        <v>8.250000000000001E-4</v>
      </c>
      <c r="K17" s="23">
        <f t="shared" si="1"/>
        <v>3.3000000000000004E-3</v>
      </c>
      <c r="L17" s="23">
        <f t="shared" si="2"/>
        <v>8.2500000000000004E-3</v>
      </c>
      <c r="M17" s="23">
        <f t="shared" si="3"/>
        <v>1.7160000000000003E-3</v>
      </c>
      <c r="N17" s="23">
        <f t="shared" si="4"/>
        <v>6.8640000000000012E-3</v>
      </c>
      <c r="O17" s="23">
        <f t="shared" si="5"/>
        <v>1.7160000000000002E-2</v>
      </c>
    </row>
    <row r="18" spans="1:15" x14ac:dyDescent="0.35">
      <c r="A18" s="4" t="s">
        <v>163</v>
      </c>
      <c r="B18" s="26" t="str">
        <f>AI_Costs!B18</f>
        <v>Course recommendations (web search)</v>
      </c>
      <c r="C18" s="2" t="s">
        <v>242</v>
      </c>
      <c r="D18" s="22">
        <v>1</v>
      </c>
      <c r="E18" s="14">
        <v>0</v>
      </c>
      <c r="F18" s="14">
        <v>0.2</v>
      </c>
      <c r="G18" s="14">
        <v>0.6</v>
      </c>
      <c r="H18" s="27">
        <f>AI_Costs!K18</f>
        <v>8.9046E-2</v>
      </c>
      <c r="I18" s="27">
        <f>AI_Costs!L18</f>
        <v>0.18521567999999999</v>
      </c>
      <c r="J18" s="23">
        <f t="shared" si="0"/>
        <v>0</v>
      </c>
      <c r="K18" s="23">
        <f t="shared" si="1"/>
        <v>1.7809200000000001E-2</v>
      </c>
      <c r="L18" s="23">
        <f t="shared" si="2"/>
        <v>5.3427599999999999E-2</v>
      </c>
      <c r="M18" s="23">
        <f t="shared" si="3"/>
        <v>0</v>
      </c>
      <c r="N18" s="23">
        <f t="shared" si="4"/>
        <v>3.7043135999999997E-2</v>
      </c>
      <c r="O18" s="23">
        <f t="shared" si="5"/>
        <v>0.111129408</v>
      </c>
    </row>
    <row r="19" spans="1:15" x14ac:dyDescent="0.35">
      <c r="A19" s="4" t="s">
        <v>167</v>
      </c>
      <c r="B19" s="26" t="str">
        <f>AI_Costs!B19</f>
        <v>Career paths</v>
      </c>
      <c r="C19" s="2" t="s">
        <v>243</v>
      </c>
      <c r="D19" s="22">
        <v>1</v>
      </c>
      <c r="E19" s="14">
        <v>0.02</v>
      </c>
      <c r="F19" s="14">
        <v>0.1</v>
      </c>
      <c r="G19" s="14">
        <v>0.3</v>
      </c>
      <c r="H19" s="27">
        <f>AI_Costs!K19</f>
        <v>1.3125E-2</v>
      </c>
      <c r="I19" s="27">
        <f>AI_Costs!L19</f>
        <v>2.7300000000000001E-2</v>
      </c>
      <c r="J19" s="23">
        <f t="shared" si="0"/>
        <v>2.6249999999999998E-4</v>
      </c>
      <c r="K19" s="23">
        <f t="shared" si="1"/>
        <v>1.3125000000000001E-3</v>
      </c>
      <c r="L19" s="23">
        <f t="shared" si="2"/>
        <v>3.9375E-3</v>
      </c>
      <c r="M19" s="23">
        <f t="shared" si="3"/>
        <v>5.4600000000000004E-4</v>
      </c>
      <c r="N19" s="23">
        <f t="shared" si="4"/>
        <v>2.7300000000000002E-3</v>
      </c>
      <c r="O19" s="23">
        <f t="shared" si="5"/>
        <v>8.1899999999999994E-3</v>
      </c>
    </row>
    <row r="20" spans="1:15" x14ac:dyDescent="0.35">
      <c r="A20" s="4" t="s">
        <v>170</v>
      </c>
      <c r="B20" s="26" t="str">
        <f>AI_Costs!B20</f>
        <v>Performance review AI assist</v>
      </c>
      <c r="C20" s="2" t="s">
        <v>244</v>
      </c>
      <c r="D20" s="22">
        <v>1</v>
      </c>
      <c r="E20" s="14">
        <v>0.15</v>
      </c>
      <c r="F20" s="14">
        <v>0.33</v>
      </c>
      <c r="G20" s="14">
        <v>0.5</v>
      </c>
      <c r="H20" s="27">
        <f>AI_Costs!K20</f>
        <v>4.0500000000000001E-2</v>
      </c>
      <c r="I20" s="27">
        <f>AI_Costs!L20</f>
        <v>8.4240000000000009E-2</v>
      </c>
      <c r="J20" s="23">
        <f t="shared" si="0"/>
        <v>6.0749999999999997E-3</v>
      </c>
      <c r="K20" s="23">
        <f t="shared" si="1"/>
        <v>1.3365000000000002E-2</v>
      </c>
      <c r="L20" s="23">
        <f t="shared" si="2"/>
        <v>2.0250000000000001E-2</v>
      </c>
      <c r="M20" s="23">
        <f t="shared" si="3"/>
        <v>1.2636000000000001E-2</v>
      </c>
      <c r="N20" s="23">
        <f t="shared" si="4"/>
        <v>2.7799200000000003E-2</v>
      </c>
      <c r="O20" s="23">
        <f t="shared" si="5"/>
        <v>4.2120000000000005E-2</v>
      </c>
    </row>
    <row r="21" spans="1:15" x14ac:dyDescent="0.35">
      <c r="A21" s="4" t="s">
        <v>174</v>
      </c>
      <c r="B21" s="26" t="str">
        <f>AI_Costs!B21</f>
        <v>Career profile extraction</v>
      </c>
      <c r="C21" s="2" t="s">
        <v>245</v>
      </c>
      <c r="D21" s="22">
        <v>1</v>
      </c>
      <c r="E21" s="14">
        <v>0.02</v>
      </c>
      <c r="F21" s="14">
        <v>0.03</v>
      </c>
      <c r="G21" s="14">
        <v>0.05</v>
      </c>
      <c r="H21" s="27">
        <f>AI_Costs!K21</f>
        <v>3.15E-2</v>
      </c>
      <c r="I21" s="27">
        <f>AI_Costs!L21</f>
        <v>6.5520000000000009E-2</v>
      </c>
      <c r="J21" s="23">
        <f t="shared" si="0"/>
        <v>6.3000000000000003E-4</v>
      </c>
      <c r="K21" s="23">
        <f t="shared" si="1"/>
        <v>9.4499999999999998E-4</v>
      </c>
      <c r="L21" s="23">
        <f t="shared" si="2"/>
        <v>1.575E-3</v>
      </c>
      <c r="M21" s="23">
        <f t="shared" si="3"/>
        <v>1.3104000000000002E-3</v>
      </c>
      <c r="N21" s="23">
        <f t="shared" si="4"/>
        <v>1.9656000000000001E-3</v>
      </c>
      <c r="O21" s="23">
        <f t="shared" si="5"/>
        <v>3.2760000000000007E-3</v>
      </c>
    </row>
    <row r="22" spans="1:15" x14ac:dyDescent="0.35">
      <c r="A22" s="4" t="s">
        <v>178</v>
      </c>
      <c r="B22" s="26" t="str">
        <f>AI_Costs!B22</f>
        <v>Discovery interview synthesis</v>
      </c>
      <c r="C22" s="2" t="s">
        <v>246</v>
      </c>
      <c r="D22" s="22">
        <v>1</v>
      </c>
      <c r="E22" s="14">
        <v>0.02</v>
      </c>
      <c r="F22" s="14">
        <v>0.03</v>
      </c>
      <c r="G22" s="14">
        <v>0.05</v>
      </c>
      <c r="H22" s="27">
        <f>AI_Costs!K22</f>
        <v>1.7999999999999999E-2</v>
      </c>
      <c r="I22" s="27">
        <f>AI_Costs!L22</f>
        <v>3.7440000000000001E-2</v>
      </c>
      <c r="J22" s="23">
        <f t="shared" si="0"/>
        <v>3.5999999999999997E-4</v>
      </c>
      <c r="K22" s="23">
        <f t="shared" si="1"/>
        <v>5.399999999999999E-4</v>
      </c>
      <c r="L22" s="23">
        <f t="shared" si="2"/>
        <v>8.9999999999999998E-4</v>
      </c>
      <c r="M22" s="23">
        <f t="shared" si="3"/>
        <v>7.4879999999999999E-4</v>
      </c>
      <c r="N22" s="23">
        <f t="shared" si="4"/>
        <v>1.1232E-3</v>
      </c>
      <c r="O22" s="23">
        <f t="shared" si="5"/>
        <v>1.8720000000000002E-3</v>
      </c>
    </row>
    <row r="23" spans="1:15" x14ac:dyDescent="0.35">
      <c r="A23" s="4" t="s">
        <v>181</v>
      </c>
      <c r="B23" s="26" t="str">
        <f>AI_Costs!B23</f>
        <v>Task breakdown</v>
      </c>
      <c r="C23" s="2" t="s">
        <v>247</v>
      </c>
      <c r="D23" s="22">
        <v>1</v>
      </c>
      <c r="E23" s="14">
        <v>1</v>
      </c>
      <c r="F23" s="14">
        <v>4</v>
      </c>
      <c r="G23" s="14">
        <v>10</v>
      </c>
      <c r="H23" s="27">
        <f>AI_Costs!K23</f>
        <v>1.8E-3</v>
      </c>
      <c r="I23" s="27">
        <f>AI_Costs!L23</f>
        <v>3.7439999999999999E-3</v>
      </c>
      <c r="J23" s="23">
        <f t="shared" si="0"/>
        <v>1.8E-3</v>
      </c>
      <c r="K23" s="23">
        <f t="shared" si="1"/>
        <v>7.1999999999999998E-3</v>
      </c>
      <c r="L23" s="23">
        <f t="shared" si="2"/>
        <v>1.7999999999999999E-2</v>
      </c>
      <c r="M23" s="23">
        <f t="shared" si="3"/>
        <v>3.7439999999999999E-3</v>
      </c>
      <c r="N23" s="23">
        <f t="shared" si="4"/>
        <v>1.4976E-2</v>
      </c>
      <c r="O23" s="23">
        <f t="shared" si="5"/>
        <v>3.7440000000000001E-2</v>
      </c>
    </row>
    <row r="24" spans="1:15" x14ac:dyDescent="0.35">
      <c r="A24" s="4" t="s">
        <v>184</v>
      </c>
      <c r="B24" s="26" t="str">
        <f>AI_Costs!B24</f>
        <v>Candidate CV scoring</v>
      </c>
      <c r="C24" s="2" t="s">
        <v>248</v>
      </c>
      <c r="D24" s="22">
        <v>100</v>
      </c>
      <c r="E24" s="14">
        <v>40</v>
      </c>
      <c r="F24" s="14">
        <v>40</v>
      </c>
      <c r="G24" s="14">
        <v>40</v>
      </c>
      <c r="H24" s="27">
        <f>AI_Costs!K24</f>
        <v>5.8500000000000003E-2</v>
      </c>
      <c r="I24" s="27">
        <f>AI_Costs!L24</f>
        <v>0.12168000000000001</v>
      </c>
      <c r="J24" s="23">
        <f t="shared" si="0"/>
        <v>2.3400000000000004E-2</v>
      </c>
      <c r="K24" s="23">
        <f t="shared" si="1"/>
        <v>2.3400000000000004E-2</v>
      </c>
      <c r="L24" s="23">
        <f t="shared" si="2"/>
        <v>2.3400000000000004E-2</v>
      </c>
      <c r="M24" s="23">
        <f t="shared" si="3"/>
        <v>4.8672000000000007E-2</v>
      </c>
      <c r="N24" s="23">
        <f t="shared" si="4"/>
        <v>4.8672000000000007E-2</v>
      </c>
      <c r="O24" s="23">
        <f t="shared" si="5"/>
        <v>4.8672000000000007E-2</v>
      </c>
    </row>
    <row r="25" spans="1:15" x14ac:dyDescent="0.35">
      <c r="A25" s="4" t="s">
        <v>188</v>
      </c>
      <c r="B25" s="26" t="str">
        <f>AI_Costs!B25</f>
        <v>Candidate interview assessment</v>
      </c>
      <c r="C25" s="2" t="s">
        <v>249</v>
      </c>
      <c r="D25" s="22">
        <v>100</v>
      </c>
      <c r="E25" s="14">
        <v>12</v>
      </c>
      <c r="F25" s="14">
        <v>12</v>
      </c>
      <c r="G25" s="14">
        <v>12</v>
      </c>
      <c r="H25" s="27">
        <f>AI_Costs!K25</f>
        <v>1.95E-2</v>
      </c>
      <c r="I25" s="27">
        <f>AI_Costs!L25</f>
        <v>4.0559999999999999E-2</v>
      </c>
      <c r="J25" s="23">
        <f t="shared" si="0"/>
        <v>2.3400000000000001E-3</v>
      </c>
      <c r="K25" s="23">
        <f t="shared" si="1"/>
        <v>2.3400000000000001E-3</v>
      </c>
      <c r="L25" s="23">
        <f t="shared" si="2"/>
        <v>2.3400000000000001E-3</v>
      </c>
      <c r="M25" s="23">
        <f t="shared" si="3"/>
        <v>4.8671999999999995E-3</v>
      </c>
      <c r="N25" s="23">
        <f t="shared" si="4"/>
        <v>4.8671999999999995E-3</v>
      </c>
      <c r="O25" s="23">
        <f t="shared" si="5"/>
        <v>4.8671999999999995E-3</v>
      </c>
    </row>
    <row r="26" spans="1:15" x14ac:dyDescent="0.35">
      <c r="A26" s="4" t="s">
        <v>191</v>
      </c>
      <c r="B26" s="26" t="str">
        <f>AI_Costs!B26</f>
        <v>Candidate ranking</v>
      </c>
      <c r="C26" s="2" t="s">
        <v>250</v>
      </c>
      <c r="D26" s="22">
        <v>100</v>
      </c>
      <c r="E26" s="14">
        <v>2</v>
      </c>
      <c r="F26" s="14">
        <v>2</v>
      </c>
      <c r="G26" s="14">
        <v>2</v>
      </c>
      <c r="H26" s="27">
        <f>AI_Costs!K26</f>
        <v>4.8000000000000001E-2</v>
      </c>
      <c r="I26" s="27">
        <f>AI_Costs!L26</f>
        <v>9.9840000000000012E-2</v>
      </c>
      <c r="J26" s="23">
        <f t="shared" si="0"/>
        <v>9.6000000000000002E-4</v>
      </c>
      <c r="K26" s="23">
        <f t="shared" si="1"/>
        <v>9.6000000000000002E-4</v>
      </c>
      <c r="L26" s="23">
        <f t="shared" si="2"/>
        <v>9.6000000000000002E-4</v>
      </c>
      <c r="M26" s="23">
        <f t="shared" si="3"/>
        <v>1.9968000000000004E-3</v>
      </c>
      <c r="N26" s="23">
        <f t="shared" si="4"/>
        <v>1.9968000000000004E-3</v>
      </c>
      <c r="O26" s="23">
        <f t="shared" si="5"/>
        <v>1.9968000000000004E-3</v>
      </c>
    </row>
    <row r="27" spans="1:15" x14ac:dyDescent="0.35">
      <c r="A27" s="4" t="s">
        <v>194</v>
      </c>
      <c r="B27" s="26" t="str">
        <f>AI_Costs!B27</f>
        <v>Exit-interview analysis</v>
      </c>
      <c r="C27" s="2" t="s">
        <v>251</v>
      </c>
      <c r="D27" s="22">
        <v>100</v>
      </c>
      <c r="E27" s="14">
        <v>1.5</v>
      </c>
      <c r="F27" s="14">
        <v>1.5</v>
      </c>
      <c r="G27" s="14">
        <v>1.5</v>
      </c>
      <c r="H27" s="27">
        <f>AI_Costs!K27</f>
        <v>2.7E-2</v>
      </c>
      <c r="I27" s="27">
        <f>AI_Costs!L27</f>
        <v>5.6160000000000002E-2</v>
      </c>
      <c r="J27" s="23">
        <f t="shared" si="0"/>
        <v>4.0500000000000003E-4</v>
      </c>
      <c r="K27" s="23">
        <f t="shared" si="1"/>
        <v>4.0500000000000003E-4</v>
      </c>
      <c r="L27" s="23">
        <f t="shared" si="2"/>
        <v>4.0500000000000003E-4</v>
      </c>
      <c r="M27" s="23">
        <f t="shared" si="3"/>
        <v>8.4240000000000009E-4</v>
      </c>
      <c r="N27" s="23">
        <f t="shared" si="4"/>
        <v>8.4240000000000009E-4</v>
      </c>
      <c r="O27" s="23">
        <f t="shared" si="5"/>
        <v>8.4240000000000009E-4</v>
      </c>
    </row>
    <row r="28" spans="1:15" x14ac:dyDescent="0.35">
      <c r="A28" s="4" t="s">
        <v>197</v>
      </c>
      <c r="B28" s="26" t="str">
        <f>AI_Costs!B28</f>
        <v>Flight-risk score</v>
      </c>
      <c r="C28" s="2" t="s">
        <v>252</v>
      </c>
      <c r="D28" s="22">
        <v>100</v>
      </c>
      <c r="E28" s="14">
        <v>15</v>
      </c>
      <c r="F28" s="14">
        <v>15</v>
      </c>
      <c r="G28" s="14">
        <v>15</v>
      </c>
      <c r="H28" s="27">
        <f>AI_Costs!K28</f>
        <v>1.7999999999999999E-2</v>
      </c>
      <c r="I28" s="27">
        <f>AI_Costs!L28</f>
        <v>3.7440000000000001E-2</v>
      </c>
      <c r="J28" s="23">
        <f t="shared" si="0"/>
        <v>2.6999999999999997E-3</v>
      </c>
      <c r="K28" s="23">
        <f t="shared" si="1"/>
        <v>2.6999999999999997E-3</v>
      </c>
      <c r="L28" s="23">
        <f t="shared" si="2"/>
        <v>2.6999999999999997E-3</v>
      </c>
      <c r="M28" s="23">
        <f t="shared" si="3"/>
        <v>5.6159999999999995E-3</v>
      </c>
      <c r="N28" s="23">
        <f t="shared" si="4"/>
        <v>5.6159999999999995E-3</v>
      </c>
      <c r="O28" s="23">
        <f t="shared" si="5"/>
        <v>5.6159999999999995E-3</v>
      </c>
    </row>
    <row r="29" spans="1:15" x14ac:dyDescent="0.35">
      <c r="A29" s="4" t="s">
        <v>200</v>
      </c>
      <c r="B29" s="26" t="str">
        <f>AI_Costs!B29</f>
        <v>Succession ranking</v>
      </c>
      <c r="C29" s="2" t="s">
        <v>253</v>
      </c>
      <c r="D29" s="22">
        <v>100</v>
      </c>
      <c r="E29" s="14">
        <v>3</v>
      </c>
      <c r="F29" s="14">
        <v>3</v>
      </c>
      <c r="G29" s="14">
        <v>3</v>
      </c>
      <c r="H29" s="27">
        <f>AI_Costs!K29</f>
        <v>1.6580999999999999E-2</v>
      </c>
      <c r="I29" s="27">
        <f>AI_Costs!L29</f>
        <v>3.4488479999999995E-2</v>
      </c>
      <c r="J29" s="23">
        <f t="shared" si="0"/>
        <v>4.9742999999999999E-4</v>
      </c>
      <c r="K29" s="23">
        <f t="shared" si="1"/>
        <v>4.9742999999999999E-4</v>
      </c>
      <c r="L29" s="23">
        <f t="shared" si="2"/>
        <v>4.9742999999999999E-4</v>
      </c>
      <c r="M29" s="23">
        <f t="shared" si="3"/>
        <v>1.0346544E-3</v>
      </c>
      <c r="N29" s="23">
        <f t="shared" si="4"/>
        <v>1.0346544E-3</v>
      </c>
      <c r="O29" s="23">
        <f t="shared" si="5"/>
        <v>1.0346544E-3</v>
      </c>
    </row>
    <row r="30" spans="1:15" x14ac:dyDescent="0.35">
      <c r="A30" s="4" t="s">
        <v>204</v>
      </c>
      <c r="B30" s="26" t="str">
        <f>AI_Costs!B30</f>
        <v>Job description generation</v>
      </c>
      <c r="C30" s="2" t="s">
        <v>254</v>
      </c>
      <c r="D30" s="22">
        <v>100</v>
      </c>
      <c r="E30" s="14">
        <v>4</v>
      </c>
      <c r="F30" s="14">
        <v>4</v>
      </c>
      <c r="G30" s="14">
        <v>4</v>
      </c>
      <c r="H30" s="27">
        <f>AI_Costs!K30</f>
        <v>4.9500000000000004E-3</v>
      </c>
      <c r="I30" s="27">
        <f>AI_Costs!L30</f>
        <v>1.0296000000000001E-2</v>
      </c>
      <c r="J30" s="23">
        <f t="shared" si="0"/>
        <v>1.9800000000000002E-4</v>
      </c>
      <c r="K30" s="23">
        <f t="shared" si="1"/>
        <v>1.9800000000000002E-4</v>
      </c>
      <c r="L30" s="23">
        <f t="shared" si="2"/>
        <v>1.9800000000000002E-4</v>
      </c>
      <c r="M30" s="23">
        <f t="shared" si="3"/>
        <v>4.1184000000000007E-4</v>
      </c>
      <c r="N30" s="23">
        <f t="shared" si="4"/>
        <v>4.1184000000000007E-4</v>
      </c>
      <c r="O30" s="23">
        <f t="shared" si="5"/>
        <v>4.1184000000000007E-4</v>
      </c>
    </row>
    <row r="31" spans="1:15" x14ac:dyDescent="0.35">
      <c r="A31" s="4" t="s">
        <v>207</v>
      </c>
      <c r="B31" s="26" t="str">
        <f>AI_Costs!B31</f>
        <v>Interview question set</v>
      </c>
      <c r="C31" s="2" t="s">
        <v>255</v>
      </c>
      <c r="D31" s="22">
        <v>100</v>
      </c>
      <c r="E31" s="14">
        <v>4</v>
      </c>
      <c r="F31" s="14">
        <v>4</v>
      </c>
      <c r="G31" s="14">
        <v>4</v>
      </c>
      <c r="H31" s="27">
        <f>AI_Costs!K31</f>
        <v>5.4000000000000003E-3</v>
      </c>
      <c r="I31" s="27">
        <f>AI_Costs!L31</f>
        <v>1.1232000000000001E-2</v>
      </c>
      <c r="J31" s="23">
        <f t="shared" si="0"/>
        <v>2.1600000000000002E-4</v>
      </c>
      <c r="K31" s="23">
        <f t="shared" si="1"/>
        <v>2.1600000000000002E-4</v>
      </c>
      <c r="L31" s="23">
        <f t="shared" si="2"/>
        <v>2.1600000000000002E-4</v>
      </c>
      <c r="M31" s="23">
        <f t="shared" si="3"/>
        <v>4.4928000000000004E-4</v>
      </c>
      <c r="N31" s="23">
        <f t="shared" si="4"/>
        <v>4.4928000000000004E-4</v>
      </c>
      <c r="O31" s="23">
        <f t="shared" si="5"/>
        <v>4.4928000000000004E-4</v>
      </c>
    </row>
    <row r="32" spans="1:15" x14ac:dyDescent="0.35">
      <c r="A32" s="4" t="s">
        <v>210</v>
      </c>
      <c r="B32" s="26" t="str">
        <f>AI_Costs!B32</f>
        <v>Survey question drafting</v>
      </c>
      <c r="C32" s="2" t="s">
        <v>256</v>
      </c>
      <c r="D32" s="22">
        <v>100</v>
      </c>
      <c r="E32" s="14">
        <v>1</v>
      </c>
      <c r="F32" s="14">
        <v>1</v>
      </c>
      <c r="G32" s="14">
        <v>1</v>
      </c>
      <c r="H32" s="27">
        <f>AI_Costs!K32</f>
        <v>5.1000000000000004E-3</v>
      </c>
      <c r="I32" s="27">
        <f>AI_Costs!L32</f>
        <v>1.0608000000000001E-2</v>
      </c>
      <c r="J32" s="23">
        <f t="shared" si="0"/>
        <v>5.1000000000000006E-5</v>
      </c>
      <c r="K32" s="23">
        <f t="shared" si="1"/>
        <v>5.1000000000000006E-5</v>
      </c>
      <c r="L32" s="23">
        <f t="shared" si="2"/>
        <v>5.1000000000000006E-5</v>
      </c>
      <c r="M32" s="23">
        <f t="shared" si="3"/>
        <v>1.0608000000000001E-4</v>
      </c>
      <c r="N32" s="23">
        <f t="shared" si="4"/>
        <v>1.0608000000000001E-4</v>
      </c>
      <c r="O32" s="23">
        <f t="shared" si="5"/>
        <v>1.0608000000000001E-4</v>
      </c>
    </row>
    <row r="33" spans="1:15" x14ac:dyDescent="0.35">
      <c r="A33" s="4" t="s">
        <v>213</v>
      </c>
      <c r="B33" s="26" t="str">
        <f>AI_Costs!B33</f>
        <v>Role grading suggestion</v>
      </c>
      <c r="C33" s="2" t="s">
        <v>257</v>
      </c>
      <c r="D33" s="22">
        <v>100</v>
      </c>
      <c r="E33" s="14">
        <v>2</v>
      </c>
      <c r="F33" s="14">
        <v>2</v>
      </c>
      <c r="G33" s="14">
        <v>2</v>
      </c>
      <c r="H33" s="27">
        <f>AI_Costs!K33</f>
        <v>4.4999999999999997E-3</v>
      </c>
      <c r="I33" s="27">
        <f>AI_Costs!L33</f>
        <v>9.3600000000000003E-3</v>
      </c>
      <c r="J33" s="23">
        <f t="shared" si="0"/>
        <v>8.9999999999999992E-5</v>
      </c>
      <c r="K33" s="23">
        <f t="shared" si="1"/>
        <v>8.9999999999999992E-5</v>
      </c>
      <c r="L33" s="23">
        <f t="shared" si="2"/>
        <v>8.9999999999999992E-5</v>
      </c>
      <c r="M33" s="23">
        <f t="shared" si="3"/>
        <v>1.872E-4</v>
      </c>
      <c r="N33" s="23">
        <f t="shared" si="4"/>
        <v>1.872E-4</v>
      </c>
      <c r="O33" s="23">
        <f t="shared" si="5"/>
        <v>1.872E-4</v>
      </c>
    </row>
    <row r="35" spans="1:15" x14ac:dyDescent="0.35">
      <c r="B35" s="7" t="s">
        <v>2</v>
      </c>
      <c r="J35" s="28">
        <f t="shared" ref="J35:O35" si="6">SUM(J5:J33)</f>
        <v>0.11813492999999999</v>
      </c>
      <c r="K35" s="28">
        <f t="shared" si="6"/>
        <v>0.41509579666666663</v>
      </c>
      <c r="L35" s="28">
        <f t="shared" si="6"/>
        <v>1.3018475300000003</v>
      </c>
      <c r="M35" s="28">
        <f t="shared" si="6"/>
        <v>0.24572065439999999</v>
      </c>
      <c r="N35" s="28">
        <f t="shared" si="6"/>
        <v>0.8350312570666667</v>
      </c>
      <c r="O35" s="28">
        <f t="shared" si="6"/>
        <v>2.4691628624000002</v>
      </c>
    </row>
    <row r="36" spans="1:15" x14ac:dyDescent="0.35">
      <c r="B36" s="7" t="s">
        <v>258</v>
      </c>
      <c r="J36" s="29">
        <f>J35*(1-Inputs!$B$18)+M35*Inputs!$B$18</f>
        <v>0.18192779219999999</v>
      </c>
      <c r="K36" s="29">
        <f>K35*(1-Inputs!$B$18)+N35*Inputs!$B$18</f>
        <v>0.62506352686666666</v>
      </c>
      <c r="L36" s="29">
        <f>L35*(1-Inputs!$B$18)+O35*Inputs!$B$18</f>
        <v>1.8855051962000002</v>
      </c>
    </row>
    <row r="38" spans="1:15" x14ac:dyDescent="0.35">
      <c r="B38" s="2" t="s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showGridLines="0" workbookViewId="0"/>
  </sheetViews>
  <sheetFormatPr defaultRowHeight="14.5" x14ac:dyDescent="0.35"/>
  <cols>
    <col min="1" max="1" width="34" customWidth="1"/>
    <col min="2" max="2" width="62" customWidth="1"/>
    <col min="3" max="3" width="10" customWidth="1"/>
    <col min="4" max="4" width="40" customWidth="1"/>
    <col min="5" max="5" width="22" customWidth="1"/>
    <col min="6" max="6" width="20" customWidth="1"/>
  </cols>
  <sheetData>
    <row r="1" spans="1:6" ht="20" x14ac:dyDescent="0.4">
      <c r="A1" s="1" t="s">
        <v>260</v>
      </c>
    </row>
    <row r="2" spans="1:6" x14ac:dyDescent="0.35">
      <c r="A2" s="2" t="s">
        <v>261</v>
      </c>
    </row>
    <row r="4" spans="1:6" ht="26" x14ac:dyDescent="0.35">
      <c r="A4" s="3" t="s">
        <v>262</v>
      </c>
      <c r="B4" s="3" t="s">
        <v>263</v>
      </c>
      <c r="C4" s="3" t="s">
        <v>111</v>
      </c>
      <c r="D4" s="3" t="s">
        <v>264</v>
      </c>
      <c r="E4" s="3" t="s">
        <v>265</v>
      </c>
      <c r="F4" s="3" t="s">
        <v>266</v>
      </c>
    </row>
    <row r="5" spans="1:6" x14ac:dyDescent="0.35">
      <c r="A5" s="30" t="s">
        <v>267</v>
      </c>
      <c r="B5" s="30" t="s">
        <v>268</v>
      </c>
      <c r="C5" s="30" t="s">
        <v>269</v>
      </c>
      <c r="D5" s="30" t="s">
        <v>270</v>
      </c>
      <c r="E5" s="30" t="s">
        <v>271</v>
      </c>
      <c r="F5" s="30" t="s">
        <v>272</v>
      </c>
    </row>
    <row r="6" spans="1:6" ht="25" x14ac:dyDescent="0.35">
      <c r="A6" s="30" t="s">
        <v>273</v>
      </c>
      <c r="B6" s="30" t="s">
        <v>274</v>
      </c>
      <c r="C6" s="30" t="s">
        <v>275</v>
      </c>
      <c r="D6" s="30" t="s">
        <v>276</v>
      </c>
      <c r="E6" s="30" t="s">
        <v>271</v>
      </c>
      <c r="F6" s="30" t="s">
        <v>277</v>
      </c>
    </row>
    <row r="7" spans="1:6" x14ac:dyDescent="0.35">
      <c r="A7" s="30" t="s">
        <v>278</v>
      </c>
      <c r="B7" s="30" t="s">
        <v>279</v>
      </c>
      <c r="C7" s="30" t="s">
        <v>269</v>
      </c>
      <c r="D7" s="30" t="s">
        <v>270</v>
      </c>
      <c r="E7" s="30" t="s">
        <v>271</v>
      </c>
      <c r="F7" s="30" t="s">
        <v>272</v>
      </c>
    </row>
    <row r="8" spans="1:6" x14ac:dyDescent="0.35">
      <c r="A8" s="30" t="s">
        <v>280</v>
      </c>
      <c r="B8" s="30" t="s">
        <v>281</v>
      </c>
      <c r="C8" s="30" t="s">
        <v>269</v>
      </c>
      <c r="D8" s="30" t="s">
        <v>270</v>
      </c>
      <c r="E8" s="30" t="s">
        <v>271</v>
      </c>
      <c r="F8" s="30" t="s">
        <v>272</v>
      </c>
    </row>
    <row r="9" spans="1:6" x14ac:dyDescent="0.35">
      <c r="A9" s="30" t="s">
        <v>282</v>
      </c>
      <c r="B9" s="30" t="s">
        <v>283</v>
      </c>
      <c r="C9" s="30" t="s">
        <v>269</v>
      </c>
      <c r="D9" s="30" t="s">
        <v>270</v>
      </c>
      <c r="E9" s="30" t="s">
        <v>271</v>
      </c>
      <c r="F9" s="30" t="s">
        <v>272</v>
      </c>
    </row>
    <row r="10" spans="1:6" x14ac:dyDescent="0.35">
      <c r="A10" s="30" t="s">
        <v>284</v>
      </c>
      <c r="B10" s="30" t="s">
        <v>285</v>
      </c>
      <c r="C10" s="30" t="s">
        <v>269</v>
      </c>
      <c r="D10" s="30" t="s">
        <v>270</v>
      </c>
      <c r="E10" s="30" t="s">
        <v>271</v>
      </c>
      <c r="F10" s="30" t="s">
        <v>272</v>
      </c>
    </row>
    <row r="11" spans="1:6" x14ac:dyDescent="0.35">
      <c r="A11" s="30" t="s">
        <v>286</v>
      </c>
      <c r="B11" s="30" t="s">
        <v>287</v>
      </c>
      <c r="C11" s="30" t="s">
        <v>269</v>
      </c>
      <c r="D11" s="30" t="s">
        <v>270</v>
      </c>
      <c r="E11" s="30" t="s">
        <v>271</v>
      </c>
      <c r="F11" s="30" t="s">
        <v>272</v>
      </c>
    </row>
    <row r="12" spans="1:6" x14ac:dyDescent="0.35">
      <c r="A12" s="30" t="s">
        <v>288</v>
      </c>
      <c r="B12" s="30" t="s">
        <v>289</v>
      </c>
      <c r="C12" s="30" t="s">
        <v>269</v>
      </c>
      <c r="D12" s="30" t="s">
        <v>270</v>
      </c>
      <c r="E12" s="30" t="s">
        <v>271</v>
      </c>
      <c r="F12" s="30" t="s">
        <v>272</v>
      </c>
    </row>
    <row r="13" spans="1:6" x14ac:dyDescent="0.35">
      <c r="A13" s="30" t="s">
        <v>290</v>
      </c>
      <c r="B13" s="30" t="s">
        <v>291</v>
      </c>
      <c r="C13" s="30" t="s">
        <v>269</v>
      </c>
      <c r="D13" s="30" t="s">
        <v>270</v>
      </c>
      <c r="E13" s="30" t="s">
        <v>271</v>
      </c>
      <c r="F13" s="30" t="s">
        <v>272</v>
      </c>
    </row>
    <row r="14" spans="1:6" x14ac:dyDescent="0.35">
      <c r="A14" s="30" t="s">
        <v>292</v>
      </c>
      <c r="B14" s="30" t="s">
        <v>293</v>
      </c>
      <c r="C14" s="30" t="s">
        <v>275</v>
      </c>
      <c r="D14" s="30" t="s">
        <v>294</v>
      </c>
      <c r="E14" s="30" t="s">
        <v>271</v>
      </c>
      <c r="F14" s="30" t="s">
        <v>277</v>
      </c>
    </row>
    <row r="15" spans="1:6" x14ac:dyDescent="0.35">
      <c r="A15" s="30" t="s">
        <v>295</v>
      </c>
      <c r="B15" s="30" t="s">
        <v>296</v>
      </c>
      <c r="C15" s="30" t="s">
        <v>269</v>
      </c>
      <c r="D15" s="30" t="s">
        <v>297</v>
      </c>
      <c r="E15" s="30" t="s">
        <v>271</v>
      </c>
      <c r="F15" s="30" t="s">
        <v>272</v>
      </c>
    </row>
    <row r="16" spans="1:6" x14ac:dyDescent="0.35">
      <c r="A16" s="30" t="s">
        <v>298</v>
      </c>
      <c r="B16" s="30" t="s">
        <v>299</v>
      </c>
      <c r="C16" s="30" t="s">
        <v>269</v>
      </c>
      <c r="D16" s="30" t="s">
        <v>270</v>
      </c>
      <c r="E16" s="30" t="s">
        <v>271</v>
      </c>
      <c r="F16" s="30" t="s">
        <v>272</v>
      </c>
    </row>
    <row r="17" spans="1:6" x14ac:dyDescent="0.35">
      <c r="A17" s="30" t="s">
        <v>300</v>
      </c>
      <c r="B17" s="30" t="s">
        <v>301</v>
      </c>
      <c r="C17" s="30" t="s">
        <v>269</v>
      </c>
      <c r="D17" s="30" t="s">
        <v>302</v>
      </c>
      <c r="E17" s="30" t="s">
        <v>271</v>
      </c>
      <c r="F17" s="30" t="s">
        <v>272</v>
      </c>
    </row>
    <row r="18" spans="1:6" x14ac:dyDescent="0.35">
      <c r="A18" s="30" t="s">
        <v>303</v>
      </c>
      <c r="B18" s="30" t="s">
        <v>304</v>
      </c>
      <c r="C18" s="30" t="s">
        <v>269</v>
      </c>
      <c r="D18" s="30" t="s">
        <v>305</v>
      </c>
      <c r="E18" s="30" t="s">
        <v>271</v>
      </c>
      <c r="F18" s="30" t="s">
        <v>272</v>
      </c>
    </row>
    <row r="19" spans="1:6" ht="25" x14ac:dyDescent="0.35">
      <c r="A19" s="30" t="s">
        <v>306</v>
      </c>
      <c r="B19" s="30" t="s">
        <v>307</v>
      </c>
      <c r="C19" s="30" t="s">
        <v>275</v>
      </c>
      <c r="D19" s="30" t="s">
        <v>308</v>
      </c>
      <c r="E19" s="30" t="s">
        <v>271</v>
      </c>
      <c r="F19" s="30" t="s">
        <v>309</v>
      </c>
    </row>
    <row r="20" spans="1:6" x14ac:dyDescent="0.35">
      <c r="A20" s="30" t="s">
        <v>310</v>
      </c>
      <c r="B20" s="30" t="s">
        <v>311</v>
      </c>
      <c r="C20" s="30" t="s">
        <v>269</v>
      </c>
      <c r="D20" s="30" t="s">
        <v>270</v>
      </c>
      <c r="E20" s="30" t="s">
        <v>271</v>
      </c>
      <c r="F20" s="30" t="s">
        <v>272</v>
      </c>
    </row>
    <row r="21" spans="1:6" ht="25" x14ac:dyDescent="0.35">
      <c r="A21" s="30" t="s">
        <v>312</v>
      </c>
      <c r="B21" s="30" t="s">
        <v>313</v>
      </c>
      <c r="C21" s="30" t="s">
        <v>269</v>
      </c>
      <c r="D21" s="30" t="s">
        <v>314</v>
      </c>
      <c r="E21" s="30" t="s">
        <v>271</v>
      </c>
      <c r="F21" s="30" t="s">
        <v>272</v>
      </c>
    </row>
    <row r="22" spans="1:6" x14ac:dyDescent="0.35">
      <c r="A22" s="30" t="s">
        <v>315</v>
      </c>
      <c r="B22" s="30" t="s">
        <v>316</v>
      </c>
      <c r="C22" s="31" t="s">
        <v>120</v>
      </c>
      <c r="D22" s="30" t="s">
        <v>317</v>
      </c>
      <c r="E22" s="30" t="s">
        <v>318</v>
      </c>
      <c r="F22" s="30" t="s">
        <v>319</v>
      </c>
    </row>
    <row r="23" spans="1:6" x14ac:dyDescent="0.35">
      <c r="A23" s="30" t="s">
        <v>320</v>
      </c>
      <c r="B23" s="30" t="s">
        <v>321</v>
      </c>
      <c r="C23" s="31" t="s">
        <v>120</v>
      </c>
      <c r="D23" s="30" t="s">
        <v>322</v>
      </c>
      <c r="E23" s="30" t="s">
        <v>318</v>
      </c>
      <c r="F23" s="30" t="s">
        <v>323</v>
      </c>
    </row>
    <row r="24" spans="1:6" ht="25" x14ac:dyDescent="0.35">
      <c r="A24" s="30" t="s">
        <v>324</v>
      </c>
      <c r="B24" s="30" t="s">
        <v>325</v>
      </c>
      <c r="C24" s="31" t="s">
        <v>120</v>
      </c>
      <c r="D24" s="30" t="s">
        <v>326</v>
      </c>
      <c r="E24" s="30" t="s">
        <v>318</v>
      </c>
      <c r="F24" s="30" t="s">
        <v>327</v>
      </c>
    </row>
    <row r="25" spans="1:6" ht="25" x14ac:dyDescent="0.35">
      <c r="A25" s="30" t="s">
        <v>113</v>
      </c>
      <c r="B25" s="30" t="s">
        <v>328</v>
      </c>
      <c r="C25" s="31" t="s">
        <v>115</v>
      </c>
      <c r="D25" s="30" t="s">
        <v>329</v>
      </c>
      <c r="E25" s="30" t="s">
        <v>318</v>
      </c>
      <c r="F25" s="30" t="s">
        <v>330</v>
      </c>
    </row>
    <row r="26" spans="1:6" ht="25" x14ac:dyDescent="0.35">
      <c r="A26" s="30" t="s">
        <v>331</v>
      </c>
      <c r="B26" s="30" t="s">
        <v>332</v>
      </c>
      <c r="C26" s="31" t="s">
        <v>115</v>
      </c>
      <c r="D26" s="30" t="s">
        <v>333</v>
      </c>
      <c r="E26" s="30" t="s">
        <v>318</v>
      </c>
      <c r="F26" s="30" t="s">
        <v>334</v>
      </c>
    </row>
    <row r="27" spans="1:6" x14ac:dyDescent="0.35">
      <c r="A27" s="30" t="s">
        <v>335</v>
      </c>
      <c r="B27" s="30" t="s">
        <v>336</v>
      </c>
      <c r="C27" s="31" t="s">
        <v>115</v>
      </c>
      <c r="D27" s="30" t="s">
        <v>337</v>
      </c>
      <c r="E27" s="30" t="s">
        <v>318</v>
      </c>
      <c r="F27" s="30" t="s">
        <v>338</v>
      </c>
    </row>
    <row r="28" spans="1:6" ht="25" x14ac:dyDescent="0.35">
      <c r="A28" s="30" t="s">
        <v>339</v>
      </c>
      <c r="B28" s="30" t="s">
        <v>340</v>
      </c>
      <c r="C28" s="31" t="s">
        <v>115</v>
      </c>
      <c r="D28" s="30" t="s">
        <v>341</v>
      </c>
      <c r="E28" s="30" t="s">
        <v>318</v>
      </c>
      <c r="F28" s="30" t="s">
        <v>342</v>
      </c>
    </row>
    <row r="29" spans="1:6" ht="25" x14ac:dyDescent="0.35">
      <c r="A29" s="30" t="s">
        <v>343</v>
      </c>
      <c r="B29" s="30" t="s">
        <v>344</v>
      </c>
      <c r="C29" s="31" t="s">
        <v>115</v>
      </c>
      <c r="D29" s="30" t="s">
        <v>345</v>
      </c>
      <c r="E29" s="30" t="s">
        <v>318</v>
      </c>
      <c r="F29" s="30" t="s">
        <v>346</v>
      </c>
    </row>
    <row r="30" spans="1:6" ht="25" x14ac:dyDescent="0.35">
      <c r="A30" s="30" t="s">
        <v>347</v>
      </c>
      <c r="B30" s="30" t="s">
        <v>348</v>
      </c>
      <c r="C30" s="31" t="s">
        <v>138</v>
      </c>
      <c r="D30" s="30" t="s">
        <v>349</v>
      </c>
      <c r="E30" s="30" t="s">
        <v>350</v>
      </c>
      <c r="F30" s="30" t="s">
        <v>351</v>
      </c>
    </row>
    <row r="31" spans="1:6" x14ac:dyDescent="0.35">
      <c r="A31" s="30" t="s">
        <v>352</v>
      </c>
      <c r="B31" s="30" t="s">
        <v>353</v>
      </c>
      <c r="C31" s="31" t="s">
        <v>138</v>
      </c>
      <c r="D31" s="30" t="s">
        <v>354</v>
      </c>
      <c r="E31" s="30" t="s">
        <v>350</v>
      </c>
      <c r="F31" s="30" t="s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7"/>
  <sheetViews>
    <sheetView showGridLines="0" workbookViewId="0"/>
  </sheetViews>
  <sheetFormatPr defaultRowHeight="14.5" x14ac:dyDescent="0.35"/>
  <cols>
    <col min="1" max="1" width="44" customWidth="1"/>
    <col min="2" max="8" width="14" customWidth="1"/>
  </cols>
  <sheetData>
    <row r="1" spans="1:4" ht="20" x14ac:dyDescent="0.4">
      <c r="A1" s="1" t="s">
        <v>356</v>
      </c>
    </row>
    <row r="2" spans="1:4" x14ac:dyDescent="0.35">
      <c r="A2" s="2" t="s">
        <v>357</v>
      </c>
    </row>
    <row r="4" spans="1:4" x14ac:dyDescent="0.35">
      <c r="A4" s="7" t="s">
        <v>358</v>
      </c>
      <c r="B4" s="17">
        <v>250</v>
      </c>
    </row>
    <row r="5" spans="1:4" x14ac:dyDescent="0.35">
      <c r="A5" s="7" t="s">
        <v>359</v>
      </c>
      <c r="B5" s="5">
        <f>Inputs!B43</f>
        <v>8</v>
      </c>
    </row>
    <row r="7" spans="1:4" x14ac:dyDescent="0.35">
      <c r="A7" s="3" t="s">
        <v>360</v>
      </c>
      <c r="B7" s="3" t="s">
        <v>3</v>
      </c>
      <c r="C7" s="3" t="s">
        <v>4</v>
      </c>
      <c r="D7" s="3" t="s">
        <v>5</v>
      </c>
    </row>
    <row r="8" spans="1:4" x14ac:dyDescent="0.35">
      <c r="A8" s="4" t="s">
        <v>361</v>
      </c>
      <c r="B8" s="12">
        <f>$B$5</f>
        <v>8</v>
      </c>
      <c r="C8" s="12">
        <f>$B$5</f>
        <v>8</v>
      </c>
      <c r="D8" s="12">
        <f>$B$5</f>
        <v>8</v>
      </c>
    </row>
    <row r="9" spans="1:4" x14ac:dyDescent="0.35">
      <c r="A9" s="4" t="s">
        <v>362</v>
      </c>
      <c r="B9" s="5">
        <f>-Usage!J36</f>
        <v>-0.18192779219999999</v>
      </c>
      <c r="C9" s="5">
        <f>-Usage!K36</f>
        <v>-0.62506352686666666</v>
      </c>
      <c r="D9" s="5">
        <f>-Usage!L36</f>
        <v>-1.8855051962000002</v>
      </c>
    </row>
    <row r="10" spans="1:4" x14ac:dyDescent="0.35">
      <c r="A10" s="4" t="s">
        <v>363</v>
      </c>
      <c r="B10" s="5">
        <f>-Inputs!$B$32</f>
        <v>-0.05</v>
      </c>
      <c r="C10" s="5">
        <f>-Inputs!$B$32</f>
        <v>-0.05</v>
      </c>
      <c r="D10" s="5">
        <f>-Inputs!$B$32</f>
        <v>-0.05</v>
      </c>
    </row>
    <row r="11" spans="1:4" x14ac:dyDescent="0.35">
      <c r="A11" s="4" t="s">
        <v>364</v>
      </c>
      <c r="B11" s="12">
        <f>-B8*(Inputs!$B$33+Inputs!$B$34)</f>
        <v>-0.8</v>
      </c>
      <c r="C11" s="12">
        <f>-C8*(Inputs!$B$33+Inputs!$B$34)</f>
        <v>-0.8</v>
      </c>
      <c r="D11" s="12">
        <f>-D8*(Inputs!$B$33+Inputs!$B$34)</f>
        <v>-0.8</v>
      </c>
    </row>
    <row r="12" spans="1:4" x14ac:dyDescent="0.35">
      <c r="A12" s="4" t="s">
        <v>365</v>
      </c>
      <c r="B12" s="12">
        <f>-Inputs!$B$29/$B$4</f>
        <v>-0.432</v>
      </c>
      <c r="C12" s="12">
        <f>-Inputs!$B$29/$B$4</f>
        <v>-0.432</v>
      </c>
      <c r="D12" s="12">
        <f>-Inputs!$B$29/$B$4</f>
        <v>-0.432</v>
      </c>
    </row>
    <row r="13" spans="1:4" x14ac:dyDescent="0.35">
      <c r="A13" s="7" t="s">
        <v>366</v>
      </c>
      <c r="B13" s="18">
        <f>SUM(B8:B12)</f>
        <v>6.5360722078000002</v>
      </c>
      <c r="C13" s="18">
        <f>SUM(C8:C12)</f>
        <v>6.0929364731333333</v>
      </c>
      <c r="D13" s="18">
        <f>SUM(D8:D12)</f>
        <v>4.8324948037999995</v>
      </c>
    </row>
    <row r="14" spans="1:4" x14ac:dyDescent="0.35">
      <c r="A14" s="7" t="s">
        <v>15</v>
      </c>
      <c r="B14" s="32">
        <f>IF(B8=0,0,B13/B8)</f>
        <v>0.81700902597500002</v>
      </c>
      <c r="C14" s="32">
        <f>IF(C8=0,0,C13/C8)</f>
        <v>0.76161705914166666</v>
      </c>
      <c r="D14" s="32">
        <f>IF(D8=0,0,D13/D8)</f>
        <v>0.60406185047499994</v>
      </c>
    </row>
    <row r="17" spans="1:7" x14ac:dyDescent="0.35">
      <c r="A17" s="33" t="s">
        <v>367</v>
      </c>
    </row>
    <row r="18" spans="1:7" x14ac:dyDescent="0.35">
      <c r="A18" s="7" t="s">
        <v>368</v>
      </c>
      <c r="B18" s="13">
        <v>4</v>
      </c>
      <c r="C18" s="13">
        <v>5</v>
      </c>
      <c r="D18" s="13">
        <v>6</v>
      </c>
      <c r="E18" s="13">
        <v>7</v>
      </c>
      <c r="F18" s="13">
        <v>8</v>
      </c>
      <c r="G18" s="13">
        <v>9</v>
      </c>
    </row>
    <row r="19" spans="1:7" x14ac:dyDescent="0.35">
      <c r="A19" s="15">
        <v>25</v>
      </c>
      <c r="B19" s="34">
        <f>1-Inputs!$B$33-Inputs!$B$34-(Usage!$K$36+Inputs!$B$32+Inputs!$B$29/$A19)/B$18</f>
        <v>-0.34876588171666667</v>
      </c>
      <c r="C19" s="34">
        <f>1-Inputs!$B$33-Inputs!$B$34-(Usage!$K$36+Inputs!$B$32+Inputs!$B$29/$A19)/C$18</f>
        <v>-9.9012705373333287E-2</v>
      </c>
      <c r="D19" s="34">
        <f>1-Inputs!$B$33-Inputs!$B$34-(Usage!$K$36+Inputs!$B$32+Inputs!$B$29/$A19)/D$18</f>
        <v>6.7489412188888931E-2</v>
      </c>
      <c r="E19" s="34">
        <f>1-Inputs!$B$33-Inputs!$B$34-(Usage!$K$36+Inputs!$B$32+Inputs!$B$29/$A19)/E$18</f>
        <v>0.18641949616190479</v>
      </c>
      <c r="F19" s="34">
        <f>1-Inputs!$B$33-Inputs!$B$34-(Usage!$K$36+Inputs!$B$32+Inputs!$B$29/$A19)/F$18</f>
        <v>0.27561705914166668</v>
      </c>
      <c r="G19" s="34">
        <f>1-Inputs!$B$33-Inputs!$B$34-(Usage!$K$36+Inputs!$B$32+Inputs!$B$29/$A19)/G$18</f>
        <v>0.34499294145925929</v>
      </c>
    </row>
    <row r="20" spans="1:7" x14ac:dyDescent="0.35">
      <c r="A20" s="15">
        <v>50</v>
      </c>
      <c r="B20" s="34">
        <f>1-Inputs!$B$33-Inputs!$B$34-(Usage!$K$36+Inputs!$B$32+Inputs!$B$29/$A20)/B$18</f>
        <v>0.19123411828333337</v>
      </c>
      <c r="C20" s="34">
        <f>1-Inputs!$B$33-Inputs!$B$34-(Usage!$K$36+Inputs!$B$32+Inputs!$B$29/$A20)/C$18</f>
        <v>0.33298729462666665</v>
      </c>
      <c r="D20" s="34">
        <f>1-Inputs!$B$33-Inputs!$B$34-(Usage!$K$36+Inputs!$B$32+Inputs!$B$29/$A20)/D$18</f>
        <v>0.42748941218888892</v>
      </c>
      <c r="E20" s="34">
        <f>1-Inputs!$B$33-Inputs!$B$34-(Usage!$K$36+Inputs!$B$32+Inputs!$B$29/$A20)/E$18</f>
        <v>0.49499092473333334</v>
      </c>
      <c r="F20" s="34">
        <f>1-Inputs!$B$33-Inputs!$B$34-(Usage!$K$36+Inputs!$B$32+Inputs!$B$29/$A20)/F$18</f>
        <v>0.54561705914166669</v>
      </c>
      <c r="G20" s="34">
        <f>1-Inputs!$B$33-Inputs!$B$34-(Usage!$K$36+Inputs!$B$32+Inputs!$B$29/$A20)/G$18</f>
        <v>0.58499294145925929</v>
      </c>
    </row>
    <row r="21" spans="1:7" x14ac:dyDescent="0.35">
      <c r="A21" s="15">
        <v>100</v>
      </c>
      <c r="B21" s="34">
        <f>1-Inputs!$B$33-Inputs!$B$34-(Usage!$K$36+Inputs!$B$32+Inputs!$B$29/$A21)/B$18</f>
        <v>0.46123411828333333</v>
      </c>
      <c r="C21" s="34">
        <f>1-Inputs!$B$33-Inputs!$B$34-(Usage!$K$36+Inputs!$B$32+Inputs!$B$29/$A21)/C$18</f>
        <v>0.54898729462666673</v>
      </c>
      <c r="D21" s="34">
        <f>1-Inputs!$B$33-Inputs!$B$34-(Usage!$K$36+Inputs!$B$32+Inputs!$B$29/$A21)/D$18</f>
        <v>0.60748941218888897</v>
      </c>
      <c r="E21" s="34">
        <f>1-Inputs!$B$33-Inputs!$B$34-(Usage!$K$36+Inputs!$B$32+Inputs!$B$29/$A21)/E$18</f>
        <v>0.64927663901904764</v>
      </c>
      <c r="F21" s="34">
        <f>1-Inputs!$B$33-Inputs!$B$34-(Usage!$K$36+Inputs!$B$32+Inputs!$B$29/$A21)/F$18</f>
        <v>0.6806170591416667</v>
      </c>
      <c r="G21" s="34">
        <f>1-Inputs!$B$33-Inputs!$B$34-(Usage!$K$36+Inputs!$B$32+Inputs!$B$29/$A21)/G$18</f>
        <v>0.70499294145925928</v>
      </c>
    </row>
    <row r="22" spans="1:7" x14ac:dyDescent="0.35">
      <c r="A22" s="15">
        <v>250</v>
      </c>
      <c r="B22" s="34">
        <f>1-Inputs!$B$33-Inputs!$B$34-(Usage!$K$36+Inputs!$B$32+Inputs!$B$29/$A22)/B$18</f>
        <v>0.62323411828333342</v>
      </c>
      <c r="C22" s="34">
        <f>1-Inputs!$B$33-Inputs!$B$34-(Usage!$K$36+Inputs!$B$32+Inputs!$B$29/$A22)/C$18</f>
        <v>0.67858729462666667</v>
      </c>
      <c r="D22" s="34">
        <f>1-Inputs!$B$33-Inputs!$B$34-(Usage!$K$36+Inputs!$B$32+Inputs!$B$29/$A22)/D$18</f>
        <v>0.71548941218888895</v>
      </c>
      <c r="E22" s="34">
        <f>1-Inputs!$B$33-Inputs!$B$34-(Usage!$K$36+Inputs!$B$32+Inputs!$B$29/$A22)/E$18</f>
        <v>0.74184806759047617</v>
      </c>
      <c r="F22" s="34">
        <f>1-Inputs!$B$33-Inputs!$B$34-(Usage!$K$36+Inputs!$B$32+Inputs!$B$29/$A22)/F$18</f>
        <v>0.76161705914166666</v>
      </c>
      <c r="G22" s="34">
        <f>1-Inputs!$B$33-Inputs!$B$34-(Usage!$K$36+Inputs!$B$32+Inputs!$B$29/$A22)/G$18</f>
        <v>0.77699294145925935</v>
      </c>
    </row>
    <row r="23" spans="1:7" x14ac:dyDescent="0.35">
      <c r="A23" s="15">
        <v>500</v>
      </c>
      <c r="B23" s="34">
        <f>1-Inputs!$B$33-Inputs!$B$34-(Usage!$K$36+Inputs!$B$32+Inputs!$B$29/$A23)/B$18</f>
        <v>0.67723411828333335</v>
      </c>
      <c r="C23" s="34">
        <f>1-Inputs!$B$33-Inputs!$B$34-(Usage!$K$36+Inputs!$B$32+Inputs!$B$29/$A23)/C$18</f>
        <v>0.72178729462666669</v>
      </c>
      <c r="D23" s="34">
        <f>1-Inputs!$B$33-Inputs!$B$34-(Usage!$K$36+Inputs!$B$32+Inputs!$B$29/$A23)/D$18</f>
        <v>0.75148941218888887</v>
      </c>
      <c r="E23" s="34">
        <f>1-Inputs!$B$33-Inputs!$B$34-(Usage!$K$36+Inputs!$B$32+Inputs!$B$29/$A23)/E$18</f>
        <v>0.77270521044761908</v>
      </c>
      <c r="F23" s="34">
        <f>1-Inputs!$B$33-Inputs!$B$34-(Usage!$K$36+Inputs!$B$32+Inputs!$B$29/$A23)/F$18</f>
        <v>0.78861705914166669</v>
      </c>
      <c r="G23" s="34">
        <f>1-Inputs!$B$33-Inputs!$B$34-(Usage!$K$36+Inputs!$B$32+Inputs!$B$29/$A23)/G$18</f>
        <v>0.80099294145925926</v>
      </c>
    </row>
    <row r="24" spans="1:7" x14ac:dyDescent="0.35">
      <c r="A24" s="15">
        <v>1000</v>
      </c>
      <c r="B24" s="34">
        <f>1-Inputs!$B$33-Inputs!$B$34-(Usage!$K$36+Inputs!$B$32+Inputs!$B$29/$A24)/B$18</f>
        <v>0.70423411828333338</v>
      </c>
      <c r="C24" s="34">
        <f>1-Inputs!$B$33-Inputs!$B$34-(Usage!$K$36+Inputs!$B$32+Inputs!$B$29/$A24)/C$18</f>
        <v>0.74338729462666664</v>
      </c>
      <c r="D24" s="34">
        <f>1-Inputs!$B$33-Inputs!$B$34-(Usage!$K$36+Inputs!$B$32+Inputs!$B$29/$A24)/D$18</f>
        <v>0.76948941218888889</v>
      </c>
      <c r="E24" s="34">
        <f>1-Inputs!$B$33-Inputs!$B$34-(Usage!$K$36+Inputs!$B$32+Inputs!$B$29/$A24)/E$18</f>
        <v>0.78813378187619054</v>
      </c>
      <c r="F24" s="34">
        <f>1-Inputs!$B$33-Inputs!$B$34-(Usage!$K$36+Inputs!$B$32+Inputs!$B$29/$A24)/F$18</f>
        <v>0.80211705914166664</v>
      </c>
      <c r="G24" s="34">
        <f>1-Inputs!$B$33-Inputs!$B$34-(Usage!$K$36+Inputs!$B$32+Inputs!$B$29/$A24)/G$18</f>
        <v>0.81299294145925927</v>
      </c>
    </row>
    <row r="25" spans="1:7" x14ac:dyDescent="0.35">
      <c r="A25" s="15">
        <v>2500</v>
      </c>
      <c r="B25" s="34">
        <f>1-Inputs!$B$33-Inputs!$B$34-(Usage!$K$36+Inputs!$B$32+Inputs!$B$29/$A25)/B$18</f>
        <v>0.72043411828333337</v>
      </c>
      <c r="C25" s="34">
        <f>1-Inputs!$B$33-Inputs!$B$34-(Usage!$K$36+Inputs!$B$32+Inputs!$B$29/$A25)/C$18</f>
        <v>0.75634729462666672</v>
      </c>
      <c r="D25" s="34">
        <f>1-Inputs!$B$33-Inputs!$B$34-(Usage!$K$36+Inputs!$B$32+Inputs!$B$29/$A25)/D$18</f>
        <v>0.78028941218888892</v>
      </c>
      <c r="E25" s="34">
        <f>1-Inputs!$B$33-Inputs!$B$34-(Usage!$K$36+Inputs!$B$32+Inputs!$B$29/$A25)/E$18</f>
        <v>0.79739092473333339</v>
      </c>
      <c r="F25" s="34">
        <f>1-Inputs!$B$33-Inputs!$B$34-(Usage!$K$36+Inputs!$B$32+Inputs!$B$29/$A25)/F$18</f>
        <v>0.81021705914166664</v>
      </c>
      <c r="G25" s="34">
        <f>1-Inputs!$B$33-Inputs!$B$34-(Usage!$K$36+Inputs!$B$32+Inputs!$B$29/$A25)/G$18</f>
        <v>0.82019294145925925</v>
      </c>
    </row>
    <row r="28" spans="1:7" x14ac:dyDescent="0.35">
      <c r="A28" s="33" t="s">
        <v>369</v>
      </c>
    </row>
    <row r="29" spans="1:7" x14ac:dyDescent="0.35">
      <c r="A29" s="7" t="s">
        <v>368</v>
      </c>
      <c r="B29" s="13">
        <v>4</v>
      </c>
      <c r="C29" s="13">
        <v>5</v>
      </c>
      <c r="D29" s="13">
        <v>6</v>
      </c>
      <c r="E29" s="13">
        <v>7</v>
      </c>
      <c r="F29" s="13">
        <v>8</v>
      </c>
      <c r="G29" s="13">
        <v>9</v>
      </c>
    </row>
    <row r="30" spans="1:7" x14ac:dyDescent="0.35">
      <c r="A30" s="15">
        <v>25</v>
      </c>
      <c r="B30" s="34">
        <f>1-Inputs!$B$33-Inputs!$B$34-(Usage!$L$36+Inputs!$B$32+Inputs!$B$29/$A30)/B$29</f>
        <v>-0.66387629905000012</v>
      </c>
      <c r="C30" s="34">
        <f>1-Inputs!$B$33-Inputs!$B$34-(Usage!$L$36+Inputs!$B$32+Inputs!$B$29/$A30)/C$29</f>
        <v>-0.35110103924000013</v>
      </c>
      <c r="D30" s="34">
        <f>1-Inputs!$B$33-Inputs!$B$34-(Usage!$L$36+Inputs!$B$32+Inputs!$B$29/$A30)/D$29</f>
        <v>-0.14258419936666666</v>
      </c>
      <c r="E30" s="34">
        <f>1-Inputs!$B$33-Inputs!$B$34-(Usage!$L$36+Inputs!$B$32+Inputs!$B$29/$A30)/E$29</f>
        <v>6.3564005428571324E-3</v>
      </c>
      <c r="F30" s="34">
        <f>1-Inputs!$B$33-Inputs!$B$34-(Usage!$L$36+Inputs!$B$32+Inputs!$B$29/$A30)/F$29</f>
        <v>0.11806185047499995</v>
      </c>
      <c r="G30" s="34">
        <f>1-Inputs!$B$33-Inputs!$B$34-(Usage!$L$36+Inputs!$B$32+Inputs!$B$29/$A30)/G$29</f>
        <v>0.2049438670888889</v>
      </c>
    </row>
    <row r="31" spans="1:7" x14ac:dyDescent="0.35">
      <c r="A31" s="15">
        <v>50</v>
      </c>
      <c r="B31" s="34">
        <f>1-Inputs!$B$33-Inputs!$B$34-(Usage!$L$36+Inputs!$B$32+Inputs!$B$29/$A31)/B$29</f>
        <v>-0.12387629905000008</v>
      </c>
      <c r="C31" s="34">
        <f>1-Inputs!$B$33-Inputs!$B$34-(Usage!$L$36+Inputs!$B$32+Inputs!$B$29/$A31)/C$29</f>
        <v>8.0898960759999916E-2</v>
      </c>
      <c r="D31" s="34">
        <f>1-Inputs!$B$33-Inputs!$B$34-(Usage!$L$36+Inputs!$B$32+Inputs!$B$29/$A31)/D$29</f>
        <v>0.21741580063333332</v>
      </c>
      <c r="E31" s="34">
        <f>1-Inputs!$B$33-Inputs!$B$34-(Usage!$L$36+Inputs!$B$32+Inputs!$B$29/$A31)/E$29</f>
        <v>0.31492782911428563</v>
      </c>
      <c r="F31" s="34">
        <f>1-Inputs!$B$33-Inputs!$B$34-(Usage!$L$36+Inputs!$B$32+Inputs!$B$29/$A31)/F$29</f>
        <v>0.38806185047499997</v>
      </c>
      <c r="G31" s="34">
        <f>1-Inputs!$B$33-Inputs!$B$34-(Usage!$L$36+Inputs!$B$32+Inputs!$B$29/$A31)/G$29</f>
        <v>0.44494386708888889</v>
      </c>
    </row>
    <row r="32" spans="1:7" x14ac:dyDescent="0.35">
      <c r="A32" s="15">
        <v>100</v>
      </c>
      <c r="B32" s="34">
        <f>1-Inputs!$B$33-Inputs!$B$34-(Usage!$L$36+Inputs!$B$32+Inputs!$B$29/$A32)/B$29</f>
        <v>0.14612370094999994</v>
      </c>
      <c r="C32" s="34">
        <f>1-Inputs!$B$33-Inputs!$B$34-(Usage!$L$36+Inputs!$B$32+Inputs!$B$29/$A32)/C$29</f>
        <v>0.29689896076</v>
      </c>
      <c r="D32" s="34">
        <f>1-Inputs!$B$33-Inputs!$B$34-(Usage!$L$36+Inputs!$B$32+Inputs!$B$29/$A32)/D$29</f>
        <v>0.39741580063333326</v>
      </c>
      <c r="E32" s="34">
        <f>1-Inputs!$B$33-Inputs!$B$34-(Usage!$L$36+Inputs!$B$32+Inputs!$B$29/$A32)/E$29</f>
        <v>0.46921354339999999</v>
      </c>
      <c r="F32" s="34">
        <f>1-Inputs!$B$33-Inputs!$B$34-(Usage!$L$36+Inputs!$B$32+Inputs!$B$29/$A32)/F$29</f>
        <v>0.52306185047499998</v>
      </c>
      <c r="G32" s="34">
        <f>1-Inputs!$B$33-Inputs!$B$34-(Usage!$L$36+Inputs!$B$32+Inputs!$B$29/$A32)/G$29</f>
        <v>0.56494386708888888</v>
      </c>
    </row>
    <row r="33" spans="1:7" x14ac:dyDescent="0.35">
      <c r="A33" s="15">
        <v>250</v>
      </c>
      <c r="B33" s="34">
        <f>1-Inputs!$B$33-Inputs!$B$34-(Usage!$L$36+Inputs!$B$32+Inputs!$B$29/$A33)/B$29</f>
        <v>0.30812370094999997</v>
      </c>
      <c r="C33" s="34">
        <f>1-Inputs!$B$33-Inputs!$B$34-(Usage!$L$36+Inputs!$B$32+Inputs!$B$29/$A33)/C$29</f>
        <v>0.42649896075999999</v>
      </c>
      <c r="D33" s="34">
        <f>1-Inputs!$B$33-Inputs!$B$34-(Usage!$L$36+Inputs!$B$32+Inputs!$B$29/$A33)/D$29</f>
        <v>0.50541580063333336</v>
      </c>
      <c r="E33" s="34">
        <f>1-Inputs!$B$33-Inputs!$B$34-(Usage!$L$36+Inputs!$B$32+Inputs!$B$29/$A33)/E$29</f>
        <v>0.56178497197142852</v>
      </c>
      <c r="F33" s="34">
        <f>1-Inputs!$B$33-Inputs!$B$34-(Usage!$L$36+Inputs!$B$32+Inputs!$B$29/$A33)/F$29</f>
        <v>0.60406185047499994</v>
      </c>
      <c r="G33" s="34">
        <f>1-Inputs!$B$33-Inputs!$B$34-(Usage!$L$36+Inputs!$B$32+Inputs!$B$29/$A33)/G$29</f>
        <v>0.63694386708888895</v>
      </c>
    </row>
    <row r="34" spans="1:7" x14ac:dyDescent="0.35">
      <c r="A34" s="15">
        <v>500</v>
      </c>
      <c r="B34" s="34">
        <f>1-Inputs!$B$33-Inputs!$B$34-(Usage!$L$36+Inputs!$B$32+Inputs!$B$29/$A34)/B$29</f>
        <v>0.3621237009499999</v>
      </c>
      <c r="C34" s="34">
        <f>1-Inputs!$B$33-Inputs!$B$34-(Usage!$L$36+Inputs!$B$32+Inputs!$B$29/$A34)/C$29</f>
        <v>0.46969896075999995</v>
      </c>
      <c r="D34" s="34">
        <f>1-Inputs!$B$33-Inputs!$B$34-(Usage!$L$36+Inputs!$B$32+Inputs!$B$29/$A34)/D$29</f>
        <v>0.54141580063333328</v>
      </c>
      <c r="E34" s="34">
        <f>1-Inputs!$B$33-Inputs!$B$34-(Usage!$L$36+Inputs!$B$32+Inputs!$B$29/$A34)/E$29</f>
        <v>0.59264211482857143</v>
      </c>
      <c r="F34" s="34">
        <f>1-Inputs!$B$33-Inputs!$B$34-(Usage!$L$36+Inputs!$B$32+Inputs!$B$29/$A34)/F$29</f>
        <v>0.63106185047499996</v>
      </c>
      <c r="G34" s="34">
        <f>1-Inputs!$B$33-Inputs!$B$34-(Usage!$L$36+Inputs!$B$32+Inputs!$B$29/$A34)/G$29</f>
        <v>0.66094386708888886</v>
      </c>
    </row>
    <row r="35" spans="1:7" x14ac:dyDescent="0.35">
      <c r="A35" s="15">
        <v>1000</v>
      </c>
      <c r="B35" s="34">
        <f>1-Inputs!$B$33-Inputs!$B$34-(Usage!$L$36+Inputs!$B$32+Inputs!$B$29/$A35)/B$29</f>
        <v>0.38912370094999993</v>
      </c>
      <c r="C35" s="34">
        <f>1-Inputs!$B$33-Inputs!$B$34-(Usage!$L$36+Inputs!$B$32+Inputs!$B$29/$A35)/C$29</f>
        <v>0.49129896075999996</v>
      </c>
      <c r="D35" s="34">
        <f>1-Inputs!$B$33-Inputs!$B$34-(Usage!$L$36+Inputs!$B$32+Inputs!$B$29/$A35)/D$29</f>
        <v>0.55941580063333329</v>
      </c>
      <c r="E35" s="34">
        <f>1-Inputs!$B$33-Inputs!$B$34-(Usage!$L$36+Inputs!$B$32+Inputs!$B$29/$A35)/E$29</f>
        <v>0.60807068625714278</v>
      </c>
      <c r="F35" s="34">
        <f>1-Inputs!$B$33-Inputs!$B$34-(Usage!$L$36+Inputs!$B$32+Inputs!$B$29/$A35)/F$29</f>
        <v>0.64456185047499992</v>
      </c>
      <c r="G35" s="34">
        <f>1-Inputs!$B$33-Inputs!$B$34-(Usage!$L$36+Inputs!$B$32+Inputs!$B$29/$A35)/G$29</f>
        <v>0.67294386708888887</v>
      </c>
    </row>
    <row r="36" spans="1:7" x14ac:dyDescent="0.35">
      <c r="A36" s="15">
        <v>2500</v>
      </c>
      <c r="B36" s="34">
        <f>1-Inputs!$B$33-Inputs!$B$34-(Usage!$L$36+Inputs!$B$32+Inputs!$B$29/$A36)/B$29</f>
        <v>0.40532370094999998</v>
      </c>
      <c r="C36" s="34">
        <f>1-Inputs!$B$33-Inputs!$B$34-(Usage!$L$36+Inputs!$B$32+Inputs!$B$29/$A36)/C$29</f>
        <v>0.50425896075999999</v>
      </c>
      <c r="D36" s="34">
        <f>1-Inputs!$B$33-Inputs!$B$34-(Usage!$L$36+Inputs!$B$32+Inputs!$B$29/$A36)/D$29</f>
        <v>0.57021580063333333</v>
      </c>
      <c r="E36" s="34">
        <f>1-Inputs!$B$33-Inputs!$B$34-(Usage!$L$36+Inputs!$B$32+Inputs!$B$29/$A36)/E$29</f>
        <v>0.61732782911428563</v>
      </c>
      <c r="F36" s="34">
        <f>1-Inputs!$B$33-Inputs!$B$34-(Usage!$L$36+Inputs!$B$32+Inputs!$B$29/$A36)/F$29</f>
        <v>0.65266185047500003</v>
      </c>
      <c r="G36" s="34">
        <f>1-Inputs!$B$33-Inputs!$B$34-(Usage!$L$36+Inputs!$B$32+Inputs!$B$29/$A36)/G$29</f>
        <v>0.68014386708888885</v>
      </c>
    </row>
    <row r="39" spans="1:7" x14ac:dyDescent="0.35">
      <c r="A39" s="33" t="s">
        <v>370</v>
      </c>
    </row>
    <row r="40" spans="1:7" ht="26.5" x14ac:dyDescent="0.35">
      <c r="A40" s="35" t="s">
        <v>371</v>
      </c>
      <c r="B40" s="35" t="s">
        <v>372</v>
      </c>
      <c r="C40" s="35" t="s">
        <v>373</v>
      </c>
      <c r="D40" s="35" t="s">
        <v>374</v>
      </c>
      <c r="E40" s="35" t="s">
        <v>375</v>
      </c>
    </row>
    <row r="41" spans="1:7" x14ac:dyDescent="0.35">
      <c r="A41" s="15">
        <v>25</v>
      </c>
      <c r="B41" s="12">
        <f>(Usage!$K$36+Inputs!$B$32+Inputs!$B$29/$A41)/(1-Inputs!$B$33-Inputs!$B$34-Inputs!$B$37)</f>
        <v>33.300423512444439</v>
      </c>
      <c r="C41" s="12">
        <f>(Usage!$K$36+Inputs!$B$32+Inputs!$B$29/$A41)/(1-Inputs!$B$33-Inputs!$B$34-Inputs!$B$38)</f>
        <v>49.95063526866668</v>
      </c>
      <c r="D41" s="12">
        <f>(Usage!$L$36+Inputs!$B$32+Inputs!$B$29/$A41)/(1-Inputs!$B$33-Inputs!$B$34-Inputs!$B$37)</f>
        <v>41.703367974666662</v>
      </c>
      <c r="E41" s="12">
        <f>(Usage!$L$36+Inputs!$B$32+Inputs!$B$29/$A41)/(1-Inputs!$B$33-Inputs!$B$34-Inputs!$B$38)</f>
        <v>62.555051962000022</v>
      </c>
    </row>
    <row r="42" spans="1:7" x14ac:dyDescent="0.35">
      <c r="A42" s="15">
        <v>50</v>
      </c>
      <c r="B42" s="12">
        <f>(Usage!$K$36+Inputs!$B$32+Inputs!$B$29/$A42)/(1-Inputs!$B$33-Inputs!$B$34-Inputs!$B$37)</f>
        <v>18.900423512444441</v>
      </c>
      <c r="C42" s="12">
        <f>(Usage!$K$36+Inputs!$B$32+Inputs!$B$29/$A42)/(1-Inputs!$B$33-Inputs!$B$34-Inputs!$B$38)</f>
        <v>28.350635268666672</v>
      </c>
      <c r="D42" s="12">
        <f>(Usage!$L$36+Inputs!$B$32+Inputs!$B$29/$A42)/(1-Inputs!$B$33-Inputs!$B$34-Inputs!$B$37)</f>
        <v>27.303367974666667</v>
      </c>
      <c r="E42" s="12">
        <f>(Usage!$L$36+Inputs!$B$32+Inputs!$B$29/$A42)/(1-Inputs!$B$33-Inputs!$B$34-Inputs!$B$38)</f>
        <v>40.955051962000013</v>
      </c>
    </row>
    <row r="43" spans="1:7" x14ac:dyDescent="0.35">
      <c r="A43" s="15">
        <v>100</v>
      </c>
      <c r="B43" s="12">
        <f>(Usage!$K$36+Inputs!$B$32+Inputs!$B$29/$A43)/(1-Inputs!$B$33-Inputs!$B$34-Inputs!$B$37)</f>
        <v>11.700423512444443</v>
      </c>
      <c r="C43" s="12">
        <f>(Usage!$K$36+Inputs!$B$32+Inputs!$B$29/$A43)/(1-Inputs!$B$33-Inputs!$B$34-Inputs!$B$38)</f>
        <v>17.550635268666671</v>
      </c>
      <c r="D43" s="12">
        <f>(Usage!$L$36+Inputs!$B$32+Inputs!$B$29/$A43)/(1-Inputs!$B$33-Inputs!$B$34-Inputs!$B$37)</f>
        <v>20.103367974666664</v>
      </c>
      <c r="E43" s="12">
        <f>(Usage!$L$36+Inputs!$B$32+Inputs!$B$29/$A43)/(1-Inputs!$B$33-Inputs!$B$34-Inputs!$B$38)</f>
        <v>30.155051962000009</v>
      </c>
    </row>
    <row r="44" spans="1:7" x14ac:dyDescent="0.35">
      <c r="A44" s="15">
        <v>250</v>
      </c>
      <c r="B44" s="12">
        <f>(Usage!$K$36+Inputs!$B$32+Inputs!$B$29/$A44)/(1-Inputs!$B$33-Inputs!$B$34-Inputs!$B$37)</f>
        <v>7.3804235124444428</v>
      </c>
      <c r="C44" s="12">
        <f>(Usage!$K$36+Inputs!$B$32+Inputs!$B$29/$A44)/(1-Inputs!$B$33-Inputs!$B$34-Inputs!$B$38)</f>
        <v>11.070635268666669</v>
      </c>
      <c r="D44" s="12">
        <f>(Usage!$L$36+Inputs!$B$32+Inputs!$B$29/$A44)/(1-Inputs!$B$33-Inputs!$B$34-Inputs!$B$37)</f>
        <v>15.783367974666666</v>
      </c>
      <c r="E44" s="12">
        <f>(Usage!$L$36+Inputs!$B$32+Inputs!$B$29/$A44)/(1-Inputs!$B$33-Inputs!$B$34-Inputs!$B$38)</f>
        <v>23.675051962000008</v>
      </c>
    </row>
    <row r="45" spans="1:7" x14ac:dyDescent="0.35">
      <c r="A45" s="15">
        <v>500</v>
      </c>
      <c r="B45" s="12">
        <f>(Usage!$K$36+Inputs!$B$32+Inputs!$B$29/$A45)/(1-Inputs!$B$33-Inputs!$B$34-Inputs!$B$37)</f>
        <v>5.9404235124444433</v>
      </c>
      <c r="C45" s="12">
        <f>(Usage!$K$36+Inputs!$B$32+Inputs!$B$29/$A45)/(1-Inputs!$B$33-Inputs!$B$34-Inputs!$B$38)</f>
        <v>8.9106352686666686</v>
      </c>
      <c r="D45" s="12">
        <f>(Usage!$L$36+Inputs!$B$32+Inputs!$B$29/$A45)/(1-Inputs!$B$33-Inputs!$B$34-Inputs!$B$37)</f>
        <v>14.343367974666668</v>
      </c>
      <c r="E45" s="12">
        <f>(Usage!$L$36+Inputs!$B$32+Inputs!$B$29/$A45)/(1-Inputs!$B$33-Inputs!$B$34-Inputs!$B$38)</f>
        <v>21.515051962000008</v>
      </c>
    </row>
    <row r="46" spans="1:7" x14ac:dyDescent="0.35">
      <c r="A46" s="15">
        <v>1000</v>
      </c>
      <c r="B46" s="12">
        <f>(Usage!$K$36+Inputs!$B$32+Inputs!$B$29/$A46)/(1-Inputs!$B$33-Inputs!$B$34-Inputs!$B$37)</f>
        <v>5.2204235124444436</v>
      </c>
      <c r="C46" s="12">
        <f>(Usage!$K$36+Inputs!$B$32+Inputs!$B$29/$A46)/(1-Inputs!$B$33-Inputs!$B$34-Inputs!$B$38)</f>
        <v>7.8306352686666685</v>
      </c>
      <c r="D46" s="12">
        <f>(Usage!$L$36+Inputs!$B$32+Inputs!$B$29/$A46)/(1-Inputs!$B$33-Inputs!$B$34-Inputs!$B$37)</f>
        <v>13.623367974666667</v>
      </c>
      <c r="E46" s="12">
        <f>(Usage!$L$36+Inputs!$B$32+Inputs!$B$29/$A46)/(1-Inputs!$B$33-Inputs!$B$34-Inputs!$B$38)</f>
        <v>20.43505196200001</v>
      </c>
    </row>
    <row r="47" spans="1:7" x14ac:dyDescent="0.35">
      <c r="A47" s="15">
        <v>2500</v>
      </c>
      <c r="B47" s="12">
        <f>(Usage!$K$36+Inputs!$B$32+Inputs!$B$29/$A47)/(1-Inputs!$B$33-Inputs!$B$34-Inputs!$B$37)</f>
        <v>4.7884235124444441</v>
      </c>
      <c r="C47" s="12">
        <f>(Usage!$K$36+Inputs!$B$32+Inputs!$B$29/$A47)/(1-Inputs!$B$33-Inputs!$B$34-Inputs!$B$38)</f>
        <v>7.1826352686666688</v>
      </c>
      <c r="D47" s="12">
        <f>(Usage!$L$36+Inputs!$B$32+Inputs!$B$29/$A47)/(1-Inputs!$B$33-Inputs!$B$34-Inputs!$B$37)</f>
        <v>13.191367974666665</v>
      </c>
      <c r="E47" s="12">
        <f>(Usage!$L$36+Inputs!$B$32+Inputs!$B$29/$A47)/(1-Inputs!$B$33-Inputs!$B$34-Inputs!$B$38)</f>
        <v>19.787051962000007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showGridLines="0" workbookViewId="0"/>
  </sheetViews>
  <sheetFormatPr defaultRowHeight="14.5" x14ac:dyDescent="0.35"/>
  <cols>
    <col min="1" max="1" width="46" customWidth="1"/>
    <col min="2" max="2" width="14" customWidth="1"/>
    <col min="3" max="3" width="70" customWidth="1"/>
    <col min="4" max="8" width="14" customWidth="1"/>
  </cols>
  <sheetData>
    <row r="1" spans="1:7" ht="20" x14ac:dyDescent="0.4">
      <c r="A1" s="1" t="s">
        <v>376</v>
      </c>
    </row>
    <row r="2" spans="1:7" x14ac:dyDescent="0.35">
      <c r="A2" s="2" t="s">
        <v>377</v>
      </c>
    </row>
    <row r="4" spans="1:7" x14ac:dyDescent="0.35">
      <c r="A4" s="33" t="s">
        <v>378</v>
      </c>
    </row>
    <row r="5" spans="1:7" x14ac:dyDescent="0.35">
      <c r="A5" s="7" t="s">
        <v>368</v>
      </c>
      <c r="B5" s="13">
        <v>4</v>
      </c>
      <c r="C5" s="13">
        <v>5</v>
      </c>
      <c r="D5" s="13">
        <v>6</v>
      </c>
      <c r="E5" s="13">
        <v>7</v>
      </c>
      <c r="F5" s="13">
        <v>8</v>
      </c>
      <c r="G5" s="13">
        <v>9</v>
      </c>
    </row>
    <row r="6" spans="1:7" x14ac:dyDescent="0.35">
      <c r="A6" s="15">
        <v>25</v>
      </c>
      <c r="B6" s="12">
        <f>MAX(0,B$5*(1-Inputs!$B$33-Inputs!$B$34-Inputs!$B$37)-Inputs!$B$32-Inputs!$B$29/$A6)</f>
        <v>0</v>
      </c>
      <c r="C6" s="12">
        <f>MAX(0,C$5*(1-Inputs!$B$33-Inputs!$B$34-Inputs!$B$37)-Inputs!$B$32-Inputs!$B$29/$A6)</f>
        <v>0</v>
      </c>
      <c r="D6" s="12">
        <f>MAX(0,D$5*(1-Inputs!$B$33-Inputs!$B$34-Inputs!$B$37)-Inputs!$B$32-Inputs!$B$29/$A6)</f>
        <v>0</v>
      </c>
      <c r="E6" s="12">
        <f>MAX(0,E$5*(1-Inputs!$B$33-Inputs!$B$34-Inputs!$B$37)-Inputs!$B$32-Inputs!$B$29/$A6)</f>
        <v>0</v>
      </c>
      <c r="F6" s="12">
        <f>MAX(0,F$5*(1-Inputs!$B$33-Inputs!$B$34-Inputs!$B$37)-Inputs!$B$32-Inputs!$B$29/$A6)</f>
        <v>0</v>
      </c>
      <c r="G6" s="12">
        <f>MAX(0,G$5*(1-Inputs!$B$33-Inputs!$B$34-Inputs!$B$37)-Inputs!$B$32-Inputs!$B$29/$A6)</f>
        <v>0</v>
      </c>
    </row>
    <row r="7" spans="1:7" x14ac:dyDescent="0.35">
      <c r="A7" s="15">
        <v>50</v>
      </c>
      <c r="B7" s="12">
        <f>MAX(0,B$5*(1-Inputs!$B$33-Inputs!$B$34-Inputs!$B$37)-Inputs!$B$32-Inputs!$B$29/$A7)</f>
        <v>0</v>
      </c>
      <c r="C7" s="12">
        <f>MAX(0,C$5*(1-Inputs!$B$33-Inputs!$B$34-Inputs!$B$37)-Inputs!$B$32-Inputs!$B$29/$A7)</f>
        <v>0</v>
      </c>
      <c r="D7" s="12">
        <f>MAX(0,D$5*(1-Inputs!$B$33-Inputs!$B$34-Inputs!$B$37)-Inputs!$B$32-Inputs!$B$29/$A7)</f>
        <v>0</v>
      </c>
      <c r="E7" s="12">
        <f>MAX(0,E$5*(1-Inputs!$B$33-Inputs!$B$34-Inputs!$B$37)-Inputs!$B$32-Inputs!$B$29/$A7)</f>
        <v>0</v>
      </c>
      <c r="F7" s="12">
        <f>MAX(0,F$5*(1-Inputs!$B$33-Inputs!$B$34-Inputs!$B$37)-Inputs!$B$32-Inputs!$B$29/$A7)</f>
        <v>0</v>
      </c>
      <c r="G7" s="12">
        <f>MAX(0,G$5*(1-Inputs!$B$33-Inputs!$B$34-Inputs!$B$37)-Inputs!$B$32-Inputs!$B$29/$A7)</f>
        <v>0</v>
      </c>
    </row>
    <row r="8" spans="1:7" x14ac:dyDescent="0.35">
      <c r="A8" s="15">
        <v>100</v>
      </c>
      <c r="B8" s="12">
        <f>MAX(0,B$5*(1-Inputs!$B$33-Inputs!$B$34-Inputs!$B$37)-Inputs!$B$32-Inputs!$B$29/$A8)</f>
        <v>0</v>
      </c>
      <c r="C8" s="12">
        <f>MAX(0,C$5*(1-Inputs!$B$33-Inputs!$B$34-Inputs!$B$37)-Inputs!$B$32-Inputs!$B$29/$A8)</f>
        <v>0</v>
      </c>
      <c r="D8" s="12">
        <f>MAX(0,D$5*(1-Inputs!$B$33-Inputs!$B$34-Inputs!$B$37)-Inputs!$B$32-Inputs!$B$29/$A8)</f>
        <v>0</v>
      </c>
      <c r="E8" s="12">
        <f>MAX(0,E$5*(1-Inputs!$B$33-Inputs!$B$34-Inputs!$B$37)-Inputs!$B$32-Inputs!$B$29/$A8)</f>
        <v>0</v>
      </c>
      <c r="F8" s="12">
        <f>MAX(0,F$5*(1-Inputs!$B$33-Inputs!$B$34-Inputs!$B$37)-Inputs!$B$32-Inputs!$B$29/$A8)</f>
        <v>7.0000000000000062E-2</v>
      </c>
      <c r="G8" s="12">
        <f>MAX(0,G$5*(1-Inputs!$B$33-Inputs!$B$34-Inputs!$B$37)-Inputs!$B$32-Inputs!$B$29/$A8)</f>
        <v>0.21999999999999997</v>
      </c>
    </row>
    <row r="9" spans="1:7" x14ac:dyDescent="0.35">
      <c r="A9" s="15">
        <v>250</v>
      </c>
      <c r="B9" s="12">
        <f>MAX(0,B$5*(1-Inputs!$B$33-Inputs!$B$34-Inputs!$B$37)-Inputs!$B$32-Inputs!$B$29/$A9)</f>
        <v>0.11800000000000005</v>
      </c>
      <c r="C9" s="12">
        <f>MAX(0,C$5*(1-Inputs!$B$33-Inputs!$B$34-Inputs!$B$37)-Inputs!$B$32-Inputs!$B$29/$A9)</f>
        <v>0.26800000000000007</v>
      </c>
      <c r="D9" s="12">
        <f>MAX(0,D$5*(1-Inputs!$B$33-Inputs!$B$34-Inputs!$B$37)-Inputs!$B$32-Inputs!$B$29/$A9)</f>
        <v>0.41800000000000009</v>
      </c>
      <c r="E9" s="12">
        <f>MAX(0,E$5*(1-Inputs!$B$33-Inputs!$B$34-Inputs!$B$37)-Inputs!$B$32-Inputs!$B$29/$A9)</f>
        <v>0.56800000000000028</v>
      </c>
      <c r="F9" s="12">
        <f>MAX(0,F$5*(1-Inputs!$B$33-Inputs!$B$34-Inputs!$B$37)-Inputs!$B$32-Inputs!$B$29/$A9)</f>
        <v>0.71800000000000019</v>
      </c>
      <c r="G9" s="12">
        <f>MAX(0,G$5*(1-Inputs!$B$33-Inputs!$B$34-Inputs!$B$37)-Inputs!$B$32-Inputs!$B$29/$A9)</f>
        <v>0.8680000000000001</v>
      </c>
    </row>
    <row r="10" spans="1:7" x14ac:dyDescent="0.35">
      <c r="A10" s="15">
        <v>500</v>
      </c>
      <c r="B10" s="12">
        <f>MAX(0,B$5*(1-Inputs!$B$33-Inputs!$B$34-Inputs!$B$37)-Inputs!$B$32-Inputs!$B$29/$A10)</f>
        <v>0.33400000000000007</v>
      </c>
      <c r="C10" s="12">
        <f>MAX(0,C$5*(1-Inputs!$B$33-Inputs!$B$34-Inputs!$B$37)-Inputs!$B$32-Inputs!$B$29/$A10)</f>
        <v>0.4840000000000001</v>
      </c>
      <c r="D10" s="12">
        <f>MAX(0,D$5*(1-Inputs!$B$33-Inputs!$B$34-Inputs!$B$37)-Inputs!$B$32-Inputs!$B$29/$A10)</f>
        <v>0.63400000000000012</v>
      </c>
      <c r="E10" s="12">
        <f>MAX(0,E$5*(1-Inputs!$B$33-Inputs!$B$34-Inputs!$B$37)-Inputs!$B$32-Inputs!$B$29/$A10)</f>
        <v>0.78400000000000025</v>
      </c>
      <c r="F10" s="12">
        <f>MAX(0,F$5*(1-Inputs!$B$33-Inputs!$B$34-Inputs!$B$37)-Inputs!$B$32-Inputs!$B$29/$A10)</f>
        <v>0.93400000000000016</v>
      </c>
      <c r="G10" s="12">
        <f>MAX(0,G$5*(1-Inputs!$B$33-Inputs!$B$34-Inputs!$B$37)-Inputs!$B$32-Inputs!$B$29/$A10)</f>
        <v>1.0840000000000001</v>
      </c>
    </row>
    <row r="11" spans="1:7" x14ac:dyDescent="0.35">
      <c r="A11" s="15">
        <v>1000</v>
      </c>
      <c r="B11" s="12">
        <f>MAX(0,B$5*(1-Inputs!$B$33-Inputs!$B$34-Inputs!$B$37)-Inputs!$B$32-Inputs!$B$29/$A11)</f>
        <v>0.44200000000000006</v>
      </c>
      <c r="C11" s="12">
        <f>MAX(0,C$5*(1-Inputs!$B$33-Inputs!$B$34-Inputs!$B$37)-Inputs!$B$32-Inputs!$B$29/$A11)</f>
        <v>0.59200000000000008</v>
      </c>
      <c r="D11" s="12">
        <f>MAX(0,D$5*(1-Inputs!$B$33-Inputs!$B$34-Inputs!$B$37)-Inputs!$B$32-Inputs!$B$29/$A11)</f>
        <v>0.7420000000000001</v>
      </c>
      <c r="E11" s="12">
        <f>MAX(0,E$5*(1-Inputs!$B$33-Inputs!$B$34-Inputs!$B$37)-Inputs!$B$32-Inputs!$B$29/$A11)</f>
        <v>0.89200000000000024</v>
      </c>
      <c r="F11" s="12">
        <f>MAX(0,F$5*(1-Inputs!$B$33-Inputs!$B$34-Inputs!$B$37)-Inputs!$B$32-Inputs!$B$29/$A11)</f>
        <v>1.042</v>
      </c>
      <c r="G11" s="12">
        <f>MAX(0,G$5*(1-Inputs!$B$33-Inputs!$B$34-Inputs!$B$37)-Inputs!$B$32-Inputs!$B$29/$A11)</f>
        <v>1.1919999999999999</v>
      </c>
    </row>
    <row r="12" spans="1:7" x14ac:dyDescent="0.35">
      <c r="A12" s="15">
        <v>2500</v>
      </c>
      <c r="B12" s="12">
        <f>MAX(0,B$5*(1-Inputs!$B$33-Inputs!$B$34-Inputs!$B$37)-Inputs!$B$32-Inputs!$B$29/$A12)</f>
        <v>0.50680000000000003</v>
      </c>
      <c r="C12" s="12">
        <f>MAX(0,C$5*(1-Inputs!$B$33-Inputs!$B$34-Inputs!$B$37)-Inputs!$B$32-Inputs!$B$29/$A12)</f>
        <v>0.65680000000000005</v>
      </c>
      <c r="D12" s="12">
        <f>MAX(0,D$5*(1-Inputs!$B$33-Inputs!$B$34-Inputs!$B$37)-Inputs!$B$32-Inputs!$B$29/$A12)</f>
        <v>0.80680000000000007</v>
      </c>
      <c r="E12" s="12">
        <f>MAX(0,E$5*(1-Inputs!$B$33-Inputs!$B$34-Inputs!$B$37)-Inputs!$B$32-Inputs!$B$29/$A12)</f>
        <v>0.95680000000000021</v>
      </c>
      <c r="F12" s="12">
        <f>MAX(0,F$5*(1-Inputs!$B$33-Inputs!$B$34-Inputs!$B$37)-Inputs!$B$32-Inputs!$B$29/$A12)</f>
        <v>1.1068000000000002</v>
      </c>
      <c r="G12" s="12">
        <f>MAX(0,G$5*(1-Inputs!$B$33-Inputs!$B$34-Inputs!$B$37)-Inputs!$B$32-Inputs!$B$29/$A12)</f>
        <v>1.2568000000000001</v>
      </c>
    </row>
    <row r="13" spans="1:7" x14ac:dyDescent="0.35">
      <c r="A13" s="2" t="s">
        <v>379</v>
      </c>
    </row>
    <row r="15" spans="1:7" x14ac:dyDescent="0.35">
      <c r="A15" s="33" t="s">
        <v>380</v>
      </c>
    </row>
    <row r="16" spans="1:7" x14ac:dyDescent="0.35">
      <c r="A16" s="36" t="s">
        <v>381</v>
      </c>
      <c r="B16" s="36" t="s">
        <v>382</v>
      </c>
      <c r="C16" s="36" t="s">
        <v>383</v>
      </c>
    </row>
    <row r="17" spans="1:3" ht="26" x14ac:dyDescent="0.35">
      <c r="A17" s="4" t="s">
        <v>384</v>
      </c>
      <c r="B17" s="37">
        <f>Usage!F5*(AI_Costs!K5-(AI_Costs!E5*Inputs!B5+AI_Costs!F5*Inputs!C5)/1000000)</f>
        <v>6.720000000000001E-2</v>
      </c>
      <c r="C17" s="6" t="s">
        <v>385</v>
      </c>
    </row>
    <row r="18" spans="1:3" ht="26" x14ac:dyDescent="0.35">
      <c r="A18" s="4" t="s">
        <v>386</v>
      </c>
      <c r="B18" s="37">
        <f>Usage!F7*AI_Costs!K7*(1-1/5)</f>
        <v>4.24E-2</v>
      </c>
      <c r="C18" s="6" t="s">
        <v>387</v>
      </c>
    </row>
    <row r="19" spans="1:3" ht="26" x14ac:dyDescent="0.35">
      <c r="A19" s="4" t="s">
        <v>388</v>
      </c>
      <c r="B19" s="37">
        <f>Usage!F18*AI_Costs!K18*0.8</f>
        <v>1.4247360000000001E-2</v>
      </c>
      <c r="C19" s="6" t="s">
        <v>389</v>
      </c>
    </row>
    <row r="20" spans="1:3" x14ac:dyDescent="0.35">
      <c r="A20" s="7" t="s">
        <v>390</v>
      </c>
      <c r="B20" s="29">
        <f>SUM(B17:B19)</f>
        <v>0.12384736</v>
      </c>
    </row>
    <row r="21" spans="1:3" x14ac:dyDescent="0.35">
      <c r="A21" s="4" t="s">
        <v>391</v>
      </c>
      <c r="B21" s="34">
        <f>IF(Usage!K35=0,0,B20/Usage!K35)</f>
        <v>0.29835850180736195</v>
      </c>
    </row>
    <row r="22" spans="1:3" x14ac:dyDescent="0.35">
      <c r="A22" s="4" t="s">
        <v>392</v>
      </c>
      <c r="B22" s="12">
        <f>Usage!K36-B20*((1-Inputs!B18)+Inputs!B18*Inputs!B17)</f>
        <v>0.43433859246666662</v>
      </c>
    </row>
    <row r="23" spans="1:3" x14ac:dyDescent="0.35">
      <c r="A23" s="7" t="s">
        <v>393</v>
      </c>
      <c r="B23" s="32">
        <f>1-Inputs!B33-Inputs!B34-(B22+Inputs!B32+Inputs!B29/Pricing!B4)/Pricing!B5</f>
        <v>0.78545767594166671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Inputs</vt:lpstr>
      <vt:lpstr>AI_Costs</vt:lpstr>
      <vt:lpstr>Usage</vt:lpstr>
      <vt:lpstr>Features</vt:lpstr>
      <vt:lpstr>Pricing</vt:lpstr>
      <vt:lpstr>Guardrails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habiba bebars</cp:lastModifiedBy>
  <dcterms:created xsi:type="dcterms:W3CDTF">2026-10-13T05:19:32Z</dcterms:created>
  <dcterms:modified xsi:type="dcterms:W3CDTF">2026-10-13T05:19:37Z</dcterms:modified>
</cp:coreProperties>
</file>